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Calculator" sheetId="1" state="visible" r:id="rId1"/>
    <sheet xmlns:r="http://schemas.openxmlformats.org/officeDocument/2006/relationships" name="Prop Firm Tracker" sheetId="2" state="visible" r:id="rId2"/>
    <sheet xmlns:r="http://schemas.openxmlformats.org/officeDocument/2006/relationships" name="Trade Journal" sheetId="3" state="visible" r:id="rId3"/>
    <sheet xmlns:r="http://schemas.openxmlformats.org/officeDocument/2006/relationships"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$#,##0"/>
    <numFmt numFmtId="166" formatCode="0.0%"/>
    <numFmt numFmtId="167" formatCode="YYYY-MM-DD"/>
  </numFmts>
  <fonts count="21">
    <font>
      <name val="Calibri"/>
      <family val="2"/>
      <color theme="1"/>
      <sz val="11"/>
      <scheme val="minor"/>
    </font>
    <font>
      <name val="Calibri"/>
      <b val="1"/>
      <color rgb="00F8FAFC"/>
      <sz val="14"/>
    </font>
    <font>
      <name val="Calibri"/>
      <b val="1"/>
      <color rgb="0094A3B8"/>
      <sz val="9"/>
    </font>
    <font>
      <name val="Calibri"/>
      <color rgb="0094A3B8"/>
      <sz val="10"/>
    </font>
    <font>
      <name val="Calibri"/>
      <b val="1"/>
      <color rgb="007DD3FC"/>
      <sz val="10"/>
    </font>
    <font>
      <name val="Calibri"/>
      <b val="1"/>
      <color rgb="0086EFAC"/>
      <sz val="10"/>
    </font>
    <font>
      <name val="Calibri"/>
      <b val="1"/>
      <color rgb="00FCD34D"/>
      <sz val="10"/>
    </font>
    <font>
      <name val="Calibri"/>
      <b val="1"/>
      <color rgb="00F8FAFC"/>
      <sz val="10"/>
    </font>
    <font>
      <name val="Calibri"/>
      <color rgb="0086EFAC"/>
      <sz val="10"/>
    </font>
    <font>
      <name val="Calibri"/>
      <color rgb="0094A3B8"/>
      <sz val="9"/>
    </font>
    <font>
      <name val="Calibri"/>
      <color rgb="00F8FAFC"/>
      <sz val="10"/>
    </font>
    <font>
      <name val="Calibri"/>
      <color rgb="007DD3FC"/>
      <sz val="10"/>
    </font>
    <font>
      <name val="Calibri"/>
      <color rgb="00FCD34D"/>
      <sz val="10"/>
    </font>
    <font>
      <name val="Calibri"/>
      <b val="1"/>
      <color rgb="00F8FAFC"/>
      <sz val="9"/>
    </font>
    <font>
      <name val="Calibri"/>
      <color rgb="00F8FAFC"/>
      <sz val="9"/>
    </font>
    <font>
      <name val="Calibri"/>
      <color rgb="007DD3FC"/>
      <sz val="9"/>
    </font>
    <font>
      <name val="Calibri"/>
      <color rgb="0086EFAC"/>
      <sz val="9"/>
    </font>
    <font>
      <name val="Calibri"/>
      <color rgb="00FCD34D"/>
      <sz val="9"/>
    </font>
    <font>
      <name val="Calibri"/>
      <color rgb="00475569"/>
      <sz val="10"/>
    </font>
    <font>
      <name val="Calibri"/>
      <b val="1"/>
      <color rgb="0093C5FD"/>
      <sz val="11"/>
    </font>
    <font>
      <name val="Calibri"/>
      <color rgb="00CBD5E1"/>
      <sz val="10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E293B"/>
      </patternFill>
    </fill>
    <fill>
      <patternFill patternType="solid">
        <fgColor rgb="000D2137"/>
      </patternFill>
    </fill>
    <fill>
      <patternFill patternType="solid">
        <fgColor rgb="000F2910"/>
      </patternFill>
    </fill>
    <fill>
      <patternFill patternType="solid">
        <fgColor rgb="002D1B00"/>
      </patternFill>
    </fill>
    <fill>
      <patternFill patternType="solid">
        <fgColor rgb="00111827"/>
      </patternFill>
    </fill>
    <fill>
      <patternFill patternType="solid">
        <fgColor rgb="001A2744"/>
      </patternFill>
    </fill>
    <fill>
      <patternFill patternType="solid">
        <fgColor rgb="000B1120"/>
      </patternFill>
    </fill>
    <fill>
      <patternFill patternType="solid">
        <fgColor rgb="000F172A"/>
      </patternFill>
    </fill>
  </fills>
  <borders count="6">
    <border>
      <left/>
      <right/>
      <top/>
      <bottom/>
      <diagonal/>
    </border>
    <border>
      <left style="thin">
        <color rgb="001E293B"/>
      </left>
      <right style="thin">
        <color rgb="001E293B"/>
      </right>
      <top style="thin">
        <color rgb="001E293B"/>
      </top>
      <bottom style="thin">
        <color rgb="001E293B"/>
      </bottom>
    </border>
    <border>
      <left/>
      <right/>
      <top style="thin">
        <color rgb="001E293B"/>
      </top>
      <bottom/>
      <diagonal/>
    </border>
    <border>
      <left/>
      <right style="thin">
        <color rgb="001E293B"/>
      </right>
      <top style="thin">
        <color rgb="001E293B"/>
      </top>
      <bottom/>
      <diagonal/>
    </border>
    <border>
      <left/>
      <right style="thin">
        <color rgb="001E293B"/>
      </right>
      <top style="thin">
        <color rgb="001E293B"/>
      </top>
      <bottom style="thin">
        <color rgb="001E293B"/>
      </bottom>
      <diagonal/>
    </border>
    <border>
      <left/>
      <right/>
      <top style="thin">
        <color rgb="001E293B"/>
      </top>
      <bottom style="thin">
        <color rgb="001E293B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3" fillId="3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  <xf numFmtId="0" fontId="7" fillId="2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1" fontId="4" fillId="4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right" vertical="center"/>
    </xf>
    <xf numFmtId="1" fontId="5" fillId="5" borderId="1" applyAlignment="1" pivotButton="0" quotePrefix="0" xfId="0">
      <alignment horizontal="right" vertical="center"/>
    </xf>
    <xf numFmtId="2" fontId="5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166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  <xf numFmtId="0" fontId="0" fillId="0" borderId="5" pivotButton="0" quotePrefix="0" xfId="0"/>
    <xf numFmtId="167" fontId="10" fillId="10" borderId="1" applyAlignment="1" pivotButton="0" quotePrefix="0" xfId="0">
      <alignment horizontal="left" vertical="center"/>
    </xf>
    <xf numFmtId="164" fontId="11" fillId="10" borderId="1" applyAlignment="1" pivotButton="0" quotePrefix="0" xfId="0">
      <alignment horizontal="left" vertical="center"/>
    </xf>
    <xf numFmtId="164" fontId="8" fillId="10" borderId="1" applyAlignment="1" pivotButton="0" quotePrefix="0" xfId="0">
      <alignment horizontal="right" vertical="center"/>
    </xf>
    <xf numFmtId="9" fontId="12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167" fontId="10" fillId="9" borderId="1" applyAlignment="1" pivotButton="0" quotePrefix="0" xfId="0">
      <alignment horizontal="left" vertical="center"/>
    </xf>
    <xf numFmtId="164" fontId="11" fillId="9" borderId="1" applyAlignment="1" pivotButton="0" quotePrefix="0" xfId="0">
      <alignment horizontal="left" vertical="center"/>
    </xf>
    <xf numFmtId="164" fontId="8" fillId="9" borderId="1" applyAlignment="1" pivotButton="0" quotePrefix="0" xfId="0">
      <alignment horizontal="right" vertical="center"/>
    </xf>
    <xf numFmtId="9" fontId="12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13" fillId="2" borderId="1" applyAlignment="1" pivotButton="0" quotePrefix="0" xfId="0">
      <alignment horizontal="center" vertical="center"/>
    </xf>
    <xf numFmtId="1" fontId="9" fillId="9" borderId="1" applyAlignment="1" pivotButton="0" quotePrefix="0" xfId="0">
      <alignment horizontal="left" vertical="center"/>
    </xf>
    <xf numFmtId="167" fontId="14" fillId="9" borderId="1" applyAlignment="1" pivotButton="0" quotePrefix="0" xfId="0">
      <alignment horizontal="left" vertical="center"/>
    </xf>
    <xf numFmtId="0" fontId="14" fillId="9" borderId="1" applyAlignment="1" pivotButton="0" quotePrefix="0" xfId="0">
      <alignment horizontal="left" vertical="center"/>
    </xf>
    <xf numFmtId="164" fontId="9" fillId="9" borderId="1" applyAlignment="1" pivotButton="0" quotePrefix="0" xfId="0">
      <alignment horizontal="left" vertical="center"/>
    </xf>
    <xf numFmtId="2" fontId="15" fillId="9" borderId="1" applyAlignment="1" pivotButton="0" quotePrefix="0" xfId="0">
      <alignment horizontal="left" vertical="center"/>
    </xf>
    <xf numFmtId="164" fontId="16" fillId="9" borderId="1" applyAlignment="1" pivotButton="0" quotePrefix="0" xfId="0">
      <alignment horizontal="left" vertical="center"/>
    </xf>
    <xf numFmtId="0" fontId="17" fillId="9" borderId="1" applyAlignment="1" pivotButton="0" quotePrefix="0" xfId="0">
      <alignment horizontal="left" vertical="center"/>
    </xf>
    <xf numFmtId="1" fontId="9" fillId="10" borderId="1" applyAlignment="1" pivotButton="0" quotePrefix="0" xfId="0">
      <alignment horizontal="left" vertical="center"/>
    </xf>
    <xf numFmtId="167" fontId="14" fillId="10" borderId="1" applyAlignment="1" pivotButton="0" quotePrefix="0" xfId="0">
      <alignment horizontal="left" vertical="center"/>
    </xf>
    <xf numFmtId="0" fontId="14" fillId="10" borderId="1" applyAlignment="1" pivotButton="0" quotePrefix="0" xfId="0">
      <alignment horizontal="left" vertical="center"/>
    </xf>
    <xf numFmtId="164" fontId="9" fillId="10" borderId="1" applyAlignment="1" pivotButton="0" quotePrefix="0" xfId="0">
      <alignment horizontal="left" vertical="center"/>
    </xf>
    <xf numFmtId="2" fontId="15" fillId="10" borderId="1" applyAlignment="1" pivotButton="0" quotePrefix="0" xfId="0">
      <alignment horizontal="left" vertical="center"/>
    </xf>
    <xf numFmtId="164" fontId="16" fillId="10" borderId="1" applyAlignment="1" pivotButton="0" quotePrefix="0" xfId="0">
      <alignment horizontal="left" vertical="center"/>
    </xf>
    <xf numFmtId="0" fontId="17" fillId="10" borderId="1" applyAlignment="1" pivotButton="0" quotePrefix="0" xfId="0">
      <alignment horizontal="left" vertical="center"/>
    </xf>
    <xf numFmtId="0" fontId="9" fillId="10" borderId="1" applyAlignment="1" pivotButton="0" quotePrefix="0" xfId="0">
      <alignment horizontal="left" vertical="center"/>
    </xf>
    <xf numFmtId="0" fontId="18" fillId="9" borderId="0" applyAlignment="1" pivotButton="0" quotePrefix="0" xfId="0">
      <alignment horizontal="left" vertical="center"/>
    </xf>
    <xf numFmtId="0" fontId="19" fillId="7" borderId="0" applyAlignment="1" pivotButton="0" quotePrefix="0" xfId="0">
      <alignment horizontal="left" vertical="center"/>
    </xf>
    <xf numFmtId="0" fontId="20" fillId="9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EA5E9"/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4" customWidth="1" min="3" max="3"/>
    <col width="22" customWidth="1" min="4" max="4"/>
    <col width="16" customWidth="1" min="5" max="5"/>
  </cols>
  <sheetData>
    <row r="1" ht="28" customHeight="1">
      <c r="A1" s="1" t="inlineStr">
        <is>
          <t>📐  POSITION SIZER</t>
        </is>
      </c>
    </row>
    <row r="3" ht="15" customHeight="1">
      <c r="A3" s="2" t="inlineStr">
        <is>
          <t>INPUTS</t>
        </is>
      </c>
      <c r="B3" s="3" t="n"/>
      <c r="D3" s="2" t="inlineStr">
        <is>
          <t>INSTRUMENT REFERENCE</t>
        </is>
      </c>
      <c r="E3" s="3" t="n"/>
    </row>
    <row r="4" ht="18" customHeight="1">
      <c r="A4" s="4" t="inlineStr">
        <is>
          <t>Account Size ($)</t>
        </is>
      </c>
      <c r="B4" s="5" t="n">
        <v>5000</v>
      </c>
      <c r="D4" s="6" t="inlineStr">
        <is>
          <t>Instrument</t>
        </is>
      </c>
      <c r="E4" s="6" t="inlineStr">
        <is>
          <t>Tick Value</t>
        </is>
      </c>
    </row>
    <row r="5" ht="18" customHeight="1">
      <c r="A5" s="4" t="inlineStr">
        <is>
          <t>Risk (%)</t>
        </is>
      </c>
      <c r="B5" s="7" t="n">
        <v>0.5</v>
      </c>
      <c r="D5" s="8" t="inlineStr">
        <is>
          <t>MES</t>
        </is>
      </c>
      <c r="E5" s="9" t="inlineStr">
        <is>
          <t>$1.25/tick</t>
        </is>
      </c>
    </row>
    <row r="6" ht="18" customHeight="1">
      <c r="A6" s="4" t="inlineStr">
        <is>
          <t>Stop Loss (ticks)</t>
        </is>
      </c>
      <c r="B6" s="10" t="n">
        <v>6</v>
      </c>
      <c r="D6" s="11" t="inlineStr">
        <is>
          <t>MGC</t>
        </is>
      </c>
      <c r="E6" s="12" t="inlineStr">
        <is>
          <t>$1.00/tick</t>
        </is>
      </c>
    </row>
    <row r="7" ht="18" customHeight="1">
      <c r="A7" s="4" t="inlineStr">
        <is>
          <t>Tick Value ($/tick)</t>
        </is>
      </c>
      <c r="B7" s="5" t="n">
        <v>1.25</v>
      </c>
      <c r="D7" s="8" t="inlineStr">
        <is>
          <t>MNQ</t>
        </is>
      </c>
      <c r="E7" s="9" t="inlineStr">
        <is>
          <t>$0.50/tick</t>
        </is>
      </c>
    </row>
    <row r="8" ht="18" customHeight="1">
      <c r="A8" s="4" t="inlineStr">
        <is>
          <t>Commission / side ($)</t>
        </is>
      </c>
      <c r="B8" s="5" t="n">
        <v>0.35</v>
      </c>
      <c r="D8" s="11" t="inlineStr">
        <is>
          <t>M2K</t>
        </is>
      </c>
      <c r="E8" s="12" t="inlineStr">
        <is>
          <t>$0.50/tick</t>
        </is>
      </c>
    </row>
    <row r="9" ht="18" customHeight="1">
      <c r="A9" s="4" t="inlineStr">
        <is>
          <t>Slippage (ticks)</t>
        </is>
      </c>
      <c r="B9" s="7" t="n">
        <v>0.5</v>
      </c>
    </row>
    <row r="10" ht="15" customHeight="1">
      <c r="D10" s="2" t="inlineStr">
        <is>
          <t>FORMULAS</t>
        </is>
      </c>
      <c r="E10" s="3" t="n"/>
    </row>
    <row r="11" ht="16" customHeight="1">
      <c r="A11" s="2" t="inlineStr">
        <is>
          <t>RESULTS  (auto-calculated)</t>
        </is>
      </c>
      <c r="B11" s="3" t="n"/>
      <c r="D11" s="13" t="inlineStr">
        <is>
          <t>dollar_risk = account × (risk% / 100)</t>
        </is>
      </c>
    </row>
    <row r="12" ht="16" customHeight="1">
      <c r="A12" s="4" t="inlineStr">
        <is>
          <t>Dollar Risk ($)</t>
        </is>
      </c>
      <c r="B12" s="14">
        <f>B4*(B5/100)</f>
        <v/>
      </c>
      <c r="D12" s="13" t="inlineStr">
        <is>
          <t>stop_cost = stop_ticks × tick_value</t>
        </is>
      </c>
    </row>
    <row r="13" ht="16" customHeight="1">
      <c r="A13" s="4" t="inlineStr">
        <is>
          <t>Stop Cost / Contract ($)</t>
        </is>
      </c>
      <c r="B13" s="14">
        <f>B6*B7</f>
        <v/>
      </c>
      <c r="D13" s="13" t="inlineStr">
        <is>
          <t>friction = 2×comm + 2×(slip_ticks×tick_val)</t>
        </is>
      </c>
    </row>
    <row r="14" ht="16" customHeight="1">
      <c r="A14" s="4" t="inlineStr">
        <is>
          <t>Friction / Contract ($)</t>
        </is>
      </c>
      <c r="B14" s="14">
        <f>(B8*2)+(B9*B7*2)</f>
        <v/>
      </c>
      <c r="D14" s="13" t="inlineStr">
        <is>
          <t>total_cost = stop_cost + friction</t>
        </is>
      </c>
    </row>
    <row r="15" ht="16" customHeight="1">
      <c r="A15" s="4" t="inlineStr">
        <is>
          <t>Total Cost / Contract ($)</t>
        </is>
      </c>
      <c r="B15" s="14">
        <f>B13+B14</f>
        <v/>
      </c>
      <c r="D15" s="13" t="inlineStr">
        <is>
          <t>max_contracts = FLOOR(dollar_risk / total_cost)</t>
        </is>
      </c>
    </row>
    <row r="16" ht="18" customHeight="1">
      <c r="A16" s="4" t="inlineStr">
        <is>
          <t>Max Contracts</t>
        </is>
      </c>
      <c r="B16" s="15">
        <f>IF(B15&gt;0,INT(B12/B15),0)</f>
        <v/>
      </c>
    </row>
    <row r="17" ht="18" customHeight="1">
      <c r="A17" s="4" t="inlineStr">
        <is>
          <t>Effective Risk ($)</t>
        </is>
      </c>
      <c r="B17" s="14">
        <f>B16*B15</f>
        <v/>
      </c>
    </row>
    <row r="18" ht="18" customHeight="1">
      <c r="A18" s="4" t="inlineStr">
        <is>
          <t>Effective Risk (%)</t>
        </is>
      </c>
      <c r="B18" s="16">
        <f>IFERROR(B17/B4*100,0)</f>
        <v/>
      </c>
    </row>
    <row r="20" ht="18" customHeight="1">
      <c r="A20" s="4" t="inlineStr">
        <is>
          <t>Check:</t>
        </is>
      </c>
      <c r="B20" s="17">
        <f>IF(B5&gt;2,"⚠️ Risk&gt;2%",IF(B16=0,"🚫 Cannot size 1 contract","✅ Size OK"))</f>
        <v/>
      </c>
    </row>
  </sheetData>
  <mergeCells count="10">
    <mergeCell ref="D10:E10"/>
    <mergeCell ref="D15:E15"/>
    <mergeCell ref="D11:E11"/>
    <mergeCell ref="A11:B11"/>
    <mergeCell ref="D13:E13"/>
    <mergeCell ref="D14:E14"/>
    <mergeCell ref="A1:E1"/>
    <mergeCell ref="D3:E3"/>
    <mergeCell ref="A3:B3"/>
    <mergeCell ref="D12:E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5CF6"/>
    <outlinePr summaryBelow="1" summaryRight="1"/>
    <pageSetUpPr/>
  </sheetPr>
  <dimension ref="A1:G7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4" customWidth="1" min="3" max="3"/>
    <col width="12" customWidth="1" min="4" max="4"/>
    <col width="16" customWidth="1" min="5" max="5"/>
    <col width="16" customWidth="1" min="6" max="6"/>
    <col width="16" customWidth="1" min="7" max="7"/>
  </cols>
  <sheetData>
    <row r="1" ht="28" customHeight="1">
      <c r="A1" s="1" t="inlineStr">
        <is>
          <t>🏦  PROP FIRM / ACCOUNT TRACKER</t>
        </is>
      </c>
    </row>
    <row r="3" ht="15" customHeight="1">
      <c r="A3" s="2" t="inlineStr">
        <is>
          <t>ACCOUNT CONFIG  (edit blue cells)</t>
        </is>
      </c>
      <c r="B3" s="3" t="n"/>
    </row>
    <row r="4" ht="18" customHeight="1">
      <c r="A4" s="4" t="inlineStr">
        <is>
          <t>Firm Name</t>
        </is>
      </c>
      <c r="B4" s="18" t="inlineStr">
        <is>
          <t>Custom</t>
        </is>
      </c>
    </row>
    <row r="5" ht="18" customHeight="1">
      <c r="A5" s="4" t="inlineStr">
        <is>
          <t>Starting Balance</t>
        </is>
      </c>
      <c r="B5" s="19" t="n">
        <v>50000</v>
      </c>
    </row>
    <row r="6" ht="18" customHeight="1">
      <c r="A6" s="4" t="inlineStr">
        <is>
          <t>Max Drawdown</t>
        </is>
      </c>
      <c r="B6" s="19" t="n">
        <v>2500</v>
      </c>
    </row>
    <row r="7" ht="18" customHeight="1">
      <c r="A7" s="4" t="inlineStr">
        <is>
          <t>Daily Loss Limit</t>
        </is>
      </c>
      <c r="B7" s="19" t="n">
        <v>1000</v>
      </c>
    </row>
    <row r="8" ht="18" customHeight="1">
      <c r="A8" s="4" t="inlineStr">
        <is>
          <t>Profit Target</t>
        </is>
      </c>
      <c r="B8" s="19" t="n">
        <v>3000</v>
      </c>
    </row>
    <row r="9" ht="18" customHeight="1">
      <c r="A9" s="4" t="inlineStr">
        <is>
          <t>Drawdown Type</t>
        </is>
      </c>
      <c r="B9" s="18" t="inlineStr">
        <is>
          <t>static</t>
        </is>
      </c>
    </row>
    <row r="10" ht="18" customHeight="1">
      <c r="A10" s="4" t="inlineStr">
        <is>
          <t>Current Balance</t>
        </is>
      </c>
      <c r="B10" s="19" t="n">
        <v>50000</v>
      </c>
    </row>
    <row r="11" ht="18" customHeight="1">
      <c r="A11" s="4" t="inlineStr">
        <is>
          <t>Realized P/L</t>
        </is>
      </c>
      <c r="B11" s="5" t="n">
        <v>0</v>
      </c>
    </row>
    <row r="12" ht="18" customHeight="1">
      <c r="A12" s="4" t="inlineStr">
        <is>
          <t>High Water Mark</t>
        </is>
      </c>
      <c r="B12" s="19" t="n">
        <v>50000</v>
      </c>
    </row>
    <row r="14" ht="15" customHeight="1">
      <c r="A14" s="2" t="inlineStr">
        <is>
          <t>DERIVED  (auto-calculated)</t>
        </is>
      </c>
      <c r="B14" s="3" t="n"/>
    </row>
    <row r="15" ht="18" customHeight="1">
      <c r="A15" s="4" t="inlineStr">
        <is>
          <t>Floor Balance ($)</t>
        </is>
      </c>
      <c r="B15" s="20">
        <f>IF(LOWER(B9)="trailing",B12-B6,B5-B6)</f>
        <v/>
      </c>
    </row>
    <row r="16" ht="18" customHeight="1">
      <c r="A16" s="4" t="inlineStr">
        <is>
          <t>Remaining Buffer ($)</t>
        </is>
      </c>
      <c r="B16" s="20">
        <f>B10-B15</f>
        <v/>
      </c>
    </row>
    <row r="17" ht="18" customHeight="1">
      <c r="A17" s="4" t="inlineStr">
        <is>
          <t>Buffer % of Max DD</t>
        </is>
      </c>
      <c r="B17" s="21">
        <f>IFERROR(B16/B6,0)</f>
        <v/>
      </c>
    </row>
    <row r="18" ht="18" customHeight="1">
      <c r="A18" s="4" t="inlineStr">
        <is>
          <t>Distance to Target ($)</t>
        </is>
      </c>
      <c r="B18" s="20">
        <f>MAX(0,B8-B11)</f>
        <v/>
      </c>
    </row>
    <row r="19" ht="18" customHeight="1">
      <c r="A19" s="4" t="inlineStr">
        <is>
          <t>Account Status</t>
        </is>
      </c>
      <c r="B19" s="22">
        <f>IF(B16&lt;=0,"🔴 FAILED",IF(B17&lt;0.1,"🟠 DANGER",IF(B17&lt;0.3,"🟡 CAUTION","🟢 ON TRACK")))</f>
        <v/>
      </c>
    </row>
    <row r="22" ht="15" customHeight="1">
      <c r="A22" s="2" t="inlineStr">
        <is>
          <t>DAILY SESSION LOG</t>
        </is>
      </c>
      <c r="B22" s="23" t="n"/>
      <c r="C22" s="23" t="n"/>
      <c r="D22" s="23" t="n"/>
      <c r="E22" s="23" t="n"/>
      <c r="F22" s="23" t="n"/>
      <c r="G22" s="3" t="n"/>
    </row>
    <row r="23" ht="18" customHeight="1">
      <c r="A23" s="6" t="inlineStr">
        <is>
          <t>Date</t>
        </is>
      </c>
      <c r="B23" s="6" t="inlineStr">
        <is>
          <t>Start $</t>
        </is>
      </c>
      <c r="C23" s="6" t="inlineStr">
        <is>
          <t>P/L $</t>
        </is>
      </c>
      <c r="D23" s="6" t="inlineStr">
        <is>
          <t>End $</t>
        </is>
      </c>
      <c r="E23" s="6" t="inlineStr">
        <is>
          <t>Buffer $</t>
        </is>
      </c>
      <c r="F23" s="6" t="inlineStr">
        <is>
          <t>Limit Used</t>
        </is>
      </c>
      <c r="G23" s="6" t="inlineStr">
        <is>
          <t>Notes</t>
        </is>
      </c>
    </row>
    <row r="24" ht="17" customHeight="1">
      <c r="A24" s="24" t="inlineStr"/>
      <c r="B24" s="25" t="inlineStr"/>
      <c r="C24" s="25" t="inlineStr"/>
      <c r="D24" s="26">
        <f>IF(OR(B24=0,C24=0),"",B24+C24)</f>
        <v/>
      </c>
      <c r="E24" s="26">
        <f>IF(D24="","",D24-$B$15)</f>
        <v/>
      </c>
      <c r="F24" s="27">
        <f>IF(C24=0,"",ABS(C24)/$B$7)</f>
        <v/>
      </c>
      <c r="G24" s="28" t="inlineStr"/>
    </row>
    <row r="25" ht="17" customHeight="1">
      <c r="A25" s="29" t="inlineStr"/>
      <c r="B25" s="30" t="inlineStr"/>
      <c r="C25" s="30" t="inlineStr"/>
      <c r="D25" s="31">
        <f>IF(OR(B25=0,C25=0),"",B25+C25)</f>
        <v/>
      </c>
      <c r="E25" s="31">
        <f>IF(D25="","",D25-$B$15)</f>
        <v/>
      </c>
      <c r="F25" s="32">
        <f>IF(C25=0,"",ABS(C25)/$B$7)</f>
        <v/>
      </c>
      <c r="G25" s="33" t="inlineStr"/>
    </row>
    <row r="26" ht="17" customHeight="1">
      <c r="A26" s="24" t="inlineStr"/>
      <c r="B26" s="25" t="inlineStr"/>
      <c r="C26" s="25" t="inlineStr"/>
      <c r="D26" s="26">
        <f>IF(OR(B26=0,C26=0),"",B26+C26)</f>
        <v/>
      </c>
      <c r="E26" s="26">
        <f>IF(D26="","",D26-$B$15)</f>
        <v/>
      </c>
      <c r="F26" s="27">
        <f>IF(C26=0,"",ABS(C26)/$B$7)</f>
        <v/>
      </c>
      <c r="G26" s="28" t="inlineStr"/>
    </row>
    <row r="27" ht="17" customHeight="1">
      <c r="A27" s="29" t="inlineStr"/>
      <c r="B27" s="30" t="inlineStr"/>
      <c r="C27" s="30" t="inlineStr"/>
      <c r="D27" s="31">
        <f>IF(OR(B27=0,C27=0),"",B27+C27)</f>
        <v/>
      </c>
      <c r="E27" s="31">
        <f>IF(D27="","",D27-$B$15)</f>
        <v/>
      </c>
      <c r="F27" s="32">
        <f>IF(C27=0,"",ABS(C27)/$B$7)</f>
        <v/>
      </c>
      <c r="G27" s="33" t="inlineStr"/>
    </row>
    <row r="28" ht="17" customHeight="1">
      <c r="A28" s="24" t="inlineStr"/>
      <c r="B28" s="25" t="inlineStr"/>
      <c r="C28" s="25" t="inlineStr"/>
      <c r="D28" s="26">
        <f>IF(OR(B28=0,C28=0),"",B28+C28)</f>
        <v/>
      </c>
      <c r="E28" s="26">
        <f>IF(D28="","",D28-$B$15)</f>
        <v/>
      </c>
      <c r="F28" s="27">
        <f>IF(C28=0,"",ABS(C28)/$B$7)</f>
        <v/>
      </c>
      <c r="G28" s="28" t="inlineStr"/>
    </row>
    <row r="29" ht="17" customHeight="1">
      <c r="A29" s="29" t="inlineStr"/>
      <c r="B29" s="30" t="inlineStr"/>
      <c r="C29" s="30" t="inlineStr"/>
      <c r="D29" s="31">
        <f>IF(OR(B29=0,C29=0),"",B29+C29)</f>
        <v/>
      </c>
      <c r="E29" s="31">
        <f>IF(D29="","",D29-$B$15)</f>
        <v/>
      </c>
      <c r="F29" s="32">
        <f>IF(C29=0,"",ABS(C29)/$B$7)</f>
        <v/>
      </c>
      <c r="G29" s="33" t="inlineStr"/>
    </row>
    <row r="30" ht="17" customHeight="1">
      <c r="A30" s="24" t="inlineStr"/>
      <c r="B30" s="25" t="inlineStr"/>
      <c r="C30" s="25" t="inlineStr"/>
      <c r="D30" s="26">
        <f>IF(OR(B30=0,C30=0),"",B30+C30)</f>
        <v/>
      </c>
      <c r="E30" s="26">
        <f>IF(D30="","",D30-$B$15)</f>
        <v/>
      </c>
      <c r="F30" s="27">
        <f>IF(C30=0,"",ABS(C30)/$B$7)</f>
        <v/>
      </c>
      <c r="G30" s="28" t="inlineStr"/>
    </row>
    <row r="31" ht="17" customHeight="1">
      <c r="A31" s="29" t="inlineStr"/>
      <c r="B31" s="30" t="inlineStr"/>
      <c r="C31" s="30" t="inlineStr"/>
      <c r="D31" s="31">
        <f>IF(OR(B31=0,C31=0),"",B31+C31)</f>
        <v/>
      </c>
      <c r="E31" s="31">
        <f>IF(D31="","",D31-$B$15)</f>
        <v/>
      </c>
      <c r="F31" s="32">
        <f>IF(C31=0,"",ABS(C31)/$B$7)</f>
        <v/>
      </c>
      <c r="G31" s="33" t="inlineStr"/>
    </row>
    <row r="32" ht="17" customHeight="1">
      <c r="A32" s="24" t="inlineStr"/>
      <c r="B32" s="25" t="inlineStr"/>
      <c r="C32" s="25" t="inlineStr"/>
      <c r="D32" s="26">
        <f>IF(OR(B32=0,C32=0),"",B32+C32)</f>
        <v/>
      </c>
      <c r="E32" s="26">
        <f>IF(D32="","",D32-$B$15)</f>
        <v/>
      </c>
      <c r="F32" s="27">
        <f>IF(C32=0,"",ABS(C32)/$B$7)</f>
        <v/>
      </c>
      <c r="G32" s="28" t="inlineStr"/>
    </row>
    <row r="33" ht="17" customHeight="1">
      <c r="A33" s="29" t="inlineStr"/>
      <c r="B33" s="30" t="inlineStr"/>
      <c r="C33" s="30" t="inlineStr"/>
      <c r="D33" s="31">
        <f>IF(OR(B33=0,C33=0),"",B33+C33)</f>
        <v/>
      </c>
      <c r="E33" s="31">
        <f>IF(D33="","",D33-$B$15)</f>
        <v/>
      </c>
      <c r="F33" s="32">
        <f>IF(C33=0,"",ABS(C33)/$B$7)</f>
        <v/>
      </c>
      <c r="G33" s="33" t="inlineStr"/>
    </row>
    <row r="34" ht="17" customHeight="1">
      <c r="A34" s="24" t="inlineStr"/>
      <c r="B34" s="25" t="inlineStr"/>
      <c r="C34" s="25" t="inlineStr"/>
      <c r="D34" s="26">
        <f>IF(OR(B34=0,C34=0),"",B34+C34)</f>
        <v/>
      </c>
      <c r="E34" s="26">
        <f>IF(D34="","",D34-$B$15)</f>
        <v/>
      </c>
      <c r="F34" s="27">
        <f>IF(C34=0,"",ABS(C34)/$B$7)</f>
        <v/>
      </c>
      <c r="G34" s="28" t="inlineStr"/>
    </row>
    <row r="35" ht="17" customHeight="1">
      <c r="A35" s="29" t="inlineStr"/>
      <c r="B35" s="30" t="inlineStr"/>
      <c r="C35" s="30" t="inlineStr"/>
      <c r="D35" s="31">
        <f>IF(OR(B35=0,C35=0),"",B35+C35)</f>
        <v/>
      </c>
      <c r="E35" s="31">
        <f>IF(D35="","",D35-$B$15)</f>
        <v/>
      </c>
      <c r="F35" s="32">
        <f>IF(C35=0,"",ABS(C35)/$B$7)</f>
        <v/>
      </c>
      <c r="G35" s="33" t="inlineStr"/>
    </row>
    <row r="36" ht="17" customHeight="1">
      <c r="A36" s="24" t="inlineStr"/>
      <c r="B36" s="25" t="inlineStr"/>
      <c r="C36" s="25" t="inlineStr"/>
      <c r="D36" s="26">
        <f>IF(OR(B36=0,C36=0),"",B36+C36)</f>
        <v/>
      </c>
      <c r="E36" s="26">
        <f>IF(D36="","",D36-$B$15)</f>
        <v/>
      </c>
      <c r="F36" s="27">
        <f>IF(C36=0,"",ABS(C36)/$B$7)</f>
        <v/>
      </c>
      <c r="G36" s="28" t="inlineStr"/>
    </row>
    <row r="37" ht="17" customHeight="1">
      <c r="A37" s="29" t="inlineStr"/>
      <c r="B37" s="30" t="inlineStr"/>
      <c r="C37" s="30" t="inlineStr"/>
      <c r="D37" s="31">
        <f>IF(OR(B37=0,C37=0),"",B37+C37)</f>
        <v/>
      </c>
      <c r="E37" s="31">
        <f>IF(D37="","",D37-$B$15)</f>
        <v/>
      </c>
      <c r="F37" s="32">
        <f>IF(C37=0,"",ABS(C37)/$B$7)</f>
        <v/>
      </c>
      <c r="G37" s="33" t="inlineStr"/>
    </row>
    <row r="38" ht="17" customHeight="1">
      <c r="A38" s="24" t="inlineStr"/>
      <c r="B38" s="25" t="inlineStr"/>
      <c r="C38" s="25" t="inlineStr"/>
      <c r="D38" s="26">
        <f>IF(OR(B38=0,C38=0),"",B38+C38)</f>
        <v/>
      </c>
      <c r="E38" s="26">
        <f>IF(D38="","",D38-$B$15)</f>
        <v/>
      </c>
      <c r="F38" s="27">
        <f>IF(C38=0,"",ABS(C38)/$B$7)</f>
        <v/>
      </c>
      <c r="G38" s="28" t="inlineStr"/>
    </row>
    <row r="39" ht="17" customHeight="1">
      <c r="A39" s="29" t="inlineStr"/>
      <c r="B39" s="30" t="inlineStr"/>
      <c r="C39" s="30" t="inlineStr"/>
      <c r="D39" s="31">
        <f>IF(OR(B39=0,C39=0),"",B39+C39)</f>
        <v/>
      </c>
      <c r="E39" s="31">
        <f>IF(D39="","",D39-$B$15)</f>
        <v/>
      </c>
      <c r="F39" s="32">
        <f>IF(C39=0,"",ABS(C39)/$B$7)</f>
        <v/>
      </c>
      <c r="G39" s="33" t="inlineStr"/>
    </row>
    <row r="40" ht="17" customHeight="1">
      <c r="A40" s="24" t="inlineStr"/>
      <c r="B40" s="25" t="inlineStr"/>
      <c r="C40" s="25" t="inlineStr"/>
      <c r="D40" s="26">
        <f>IF(OR(B40=0,C40=0),"",B40+C40)</f>
        <v/>
      </c>
      <c r="E40" s="26">
        <f>IF(D40="","",D40-$B$15)</f>
        <v/>
      </c>
      <c r="F40" s="27">
        <f>IF(C40=0,"",ABS(C40)/$B$7)</f>
        <v/>
      </c>
      <c r="G40" s="28" t="inlineStr"/>
    </row>
    <row r="41" ht="17" customHeight="1">
      <c r="A41" s="29" t="inlineStr"/>
      <c r="B41" s="30" t="inlineStr"/>
      <c r="C41" s="30" t="inlineStr"/>
      <c r="D41" s="31">
        <f>IF(OR(B41=0,C41=0),"",B41+C41)</f>
        <v/>
      </c>
      <c r="E41" s="31">
        <f>IF(D41="","",D41-$B$15)</f>
        <v/>
      </c>
      <c r="F41" s="32">
        <f>IF(C41=0,"",ABS(C41)/$B$7)</f>
        <v/>
      </c>
      <c r="G41" s="33" t="inlineStr"/>
    </row>
    <row r="42" ht="17" customHeight="1">
      <c r="A42" s="24" t="inlineStr"/>
      <c r="B42" s="25" t="inlineStr"/>
      <c r="C42" s="25" t="inlineStr"/>
      <c r="D42" s="26">
        <f>IF(OR(B42=0,C42=0),"",B42+C42)</f>
        <v/>
      </c>
      <c r="E42" s="26">
        <f>IF(D42="","",D42-$B$15)</f>
        <v/>
      </c>
      <c r="F42" s="27">
        <f>IF(C42=0,"",ABS(C42)/$B$7)</f>
        <v/>
      </c>
      <c r="G42" s="28" t="inlineStr"/>
    </row>
    <row r="43" ht="17" customHeight="1">
      <c r="A43" s="29" t="inlineStr"/>
      <c r="B43" s="30" t="inlineStr"/>
      <c r="C43" s="30" t="inlineStr"/>
      <c r="D43" s="31">
        <f>IF(OR(B43=0,C43=0),"",B43+C43)</f>
        <v/>
      </c>
      <c r="E43" s="31">
        <f>IF(D43="","",D43-$B$15)</f>
        <v/>
      </c>
      <c r="F43" s="32">
        <f>IF(C43=0,"",ABS(C43)/$B$7)</f>
        <v/>
      </c>
      <c r="G43" s="33" t="inlineStr"/>
    </row>
    <row r="44" ht="17" customHeight="1">
      <c r="A44" s="24" t="inlineStr"/>
      <c r="B44" s="25" t="inlineStr"/>
      <c r="C44" s="25" t="inlineStr"/>
      <c r="D44" s="26">
        <f>IF(OR(B44=0,C44=0),"",B44+C44)</f>
        <v/>
      </c>
      <c r="E44" s="26">
        <f>IF(D44="","",D44-$B$15)</f>
        <v/>
      </c>
      <c r="F44" s="27">
        <f>IF(C44=0,"",ABS(C44)/$B$7)</f>
        <v/>
      </c>
      <c r="G44" s="28" t="inlineStr"/>
    </row>
    <row r="45" ht="17" customHeight="1">
      <c r="A45" s="29" t="inlineStr"/>
      <c r="B45" s="30" t="inlineStr"/>
      <c r="C45" s="30" t="inlineStr"/>
      <c r="D45" s="31">
        <f>IF(OR(B45=0,C45=0),"",B45+C45)</f>
        <v/>
      </c>
      <c r="E45" s="31">
        <f>IF(D45="","",D45-$B$15)</f>
        <v/>
      </c>
      <c r="F45" s="32">
        <f>IF(C45=0,"",ABS(C45)/$B$7)</f>
        <v/>
      </c>
      <c r="G45" s="33" t="inlineStr"/>
    </row>
    <row r="46" ht="17" customHeight="1">
      <c r="A46" s="24" t="inlineStr"/>
      <c r="B46" s="25" t="inlineStr"/>
      <c r="C46" s="25" t="inlineStr"/>
      <c r="D46" s="26">
        <f>IF(OR(B46=0,C46=0),"",B46+C46)</f>
        <v/>
      </c>
      <c r="E46" s="26">
        <f>IF(D46="","",D46-$B$15)</f>
        <v/>
      </c>
      <c r="F46" s="27">
        <f>IF(C46=0,"",ABS(C46)/$B$7)</f>
        <v/>
      </c>
      <c r="G46" s="28" t="inlineStr"/>
    </row>
    <row r="47" ht="17" customHeight="1">
      <c r="A47" s="29" t="inlineStr"/>
      <c r="B47" s="30" t="inlineStr"/>
      <c r="C47" s="30" t="inlineStr"/>
      <c r="D47" s="31">
        <f>IF(OR(B47=0,C47=0),"",B47+C47)</f>
        <v/>
      </c>
      <c r="E47" s="31">
        <f>IF(D47="","",D47-$B$15)</f>
        <v/>
      </c>
      <c r="F47" s="32">
        <f>IF(C47=0,"",ABS(C47)/$B$7)</f>
        <v/>
      </c>
      <c r="G47" s="33" t="inlineStr"/>
    </row>
    <row r="48" ht="17" customHeight="1">
      <c r="A48" s="24" t="inlineStr"/>
      <c r="B48" s="25" t="inlineStr"/>
      <c r="C48" s="25" t="inlineStr"/>
      <c r="D48" s="26">
        <f>IF(OR(B48=0,C48=0),"",B48+C48)</f>
        <v/>
      </c>
      <c r="E48" s="26">
        <f>IF(D48="","",D48-$B$15)</f>
        <v/>
      </c>
      <c r="F48" s="27">
        <f>IF(C48=0,"",ABS(C48)/$B$7)</f>
        <v/>
      </c>
      <c r="G48" s="28" t="inlineStr"/>
    </row>
    <row r="49" ht="17" customHeight="1">
      <c r="A49" s="29" t="inlineStr"/>
      <c r="B49" s="30" t="inlineStr"/>
      <c r="C49" s="30" t="inlineStr"/>
      <c r="D49" s="31">
        <f>IF(OR(B49=0,C49=0),"",B49+C49)</f>
        <v/>
      </c>
      <c r="E49" s="31">
        <f>IF(D49="","",D49-$B$15)</f>
        <v/>
      </c>
      <c r="F49" s="32">
        <f>IF(C49=0,"",ABS(C49)/$B$7)</f>
        <v/>
      </c>
      <c r="G49" s="33" t="inlineStr"/>
    </row>
    <row r="50" ht="17" customHeight="1">
      <c r="A50" s="24" t="inlineStr"/>
      <c r="B50" s="25" t="inlineStr"/>
      <c r="C50" s="25" t="inlineStr"/>
      <c r="D50" s="26">
        <f>IF(OR(B50=0,C50=0),"",B50+C50)</f>
        <v/>
      </c>
      <c r="E50" s="26">
        <f>IF(D50="","",D50-$B$15)</f>
        <v/>
      </c>
      <c r="F50" s="27">
        <f>IF(C50=0,"",ABS(C50)/$B$7)</f>
        <v/>
      </c>
      <c r="G50" s="28" t="inlineStr"/>
    </row>
    <row r="51" ht="17" customHeight="1">
      <c r="A51" s="29" t="inlineStr"/>
      <c r="B51" s="30" t="inlineStr"/>
      <c r="C51" s="30" t="inlineStr"/>
      <c r="D51" s="31">
        <f>IF(OR(B51=0,C51=0),"",B51+C51)</f>
        <v/>
      </c>
      <c r="E51" s="31">
        <f>IF(D51="","",D51-$B$15)</f>
        <v/>
      </c>
      <c r="F51" s="32">
        <f>IF(C51=0,"",ABS(C51)/$B$7)</f>
        <v/>
      </c>
      <c r="G51" s="33" t="inlineStr"/>
    </row>
    <row r="52" ht="17" customHeight="1">
      <c r="A52" s="24" t="inlineStr"/>
      <c r="B52" s="25" t="inlineStr"/>
      <c r="C52" s="25" t="inlineStr"/>
      <c r="D52" s="26">
        <f>IF(OR(B52=0,C52=0),"",B52+C52)</f>
        <v/>
      </c>
      <c r="E52" s="26">
        <f>IF(D52="","",D52-$B$15)</f>
        <v/>
      </c>
      <c r="F52" s="27">
        <f>IF(C52=0,"",ABS(C52)/$B$7)</f>
        <v/>
      </c>
      <c r="G52" s="28" t="inlineStr"/>
    </row>
    <row r="53" ht="17" customHeight="1">
      <c r="A53" s="29" t="inlineStr"/>
      <c r="B53" s="30" t="inlineStr"/>
      <c r="C53" s="30" t="inlineStr"/>
      <c r="D53" s="31">
        <f>IF(OR(B53=0,C53=0),"",B53+C53)</f>
        <v/>
      </c>
      <c r="E53" s="31">
        <f>IF(D53="","",D53-$B$15)</f>
        <v/>
      </c>
      <c r="F53" s="32">
        <f>IF(C53=0,"",ABS(C53)/$B$7)</f>
        <v/>
      </c>
      <c r="G53" s="33" t="inlineStr"/>
    </row>
    <row r="54" ht="17" customHeight="1">
      <c r="A54" s="24" t="inlineStr"/>
      <c r="B54" s="25" t="inlineStr"/>
      <c r="C54" s="25" t="inlineStr"/>
      <c r="D54" s="26">
        <f>IF(OR(B54=0,C54=0),"",B54+C54)</f>
        <v/>
      </c>
      <c r="E54" s="26">
        <f>IF(D54="","",D54-$B$15)</f>
        <v/>
      </c>
      <c r="F54" s="27">
        <f>IF(C54=0,"",ABS(C54)/$B$7)</f>
        <v/>
      </c>
      <c r="G54" s="28" t="inlineStr"/>
    </row>
    <row r="55" ht="17" customHeight="1">
      <c r="A55" s="29" t="inlineStr"/>
      <c r="B55" s="30" t="inlineStr"/>
      <c r="C55" s="30" t="inlineStr"/>
      <c r="D55" s="31">
        <f>IF(OR(B55=0,C55=0),"",B55+C55)</f>
        <v/>
      </c>
      <c r="E55" s="31">
        <f>IF(D55="","",D55-$B$15)</f>
        <v/>
      </c>
      <c r="F55" s="32">
        <f>IF(C55=0,"",ABS(C55)/$B$7)</f>
        <v/>
      </c>
      <c r="G55" s="33" t="inlineStr"/>
    </row>
    <row r="56" ht="17" customHeight="1">
      <c r="A56" s="24" t="inlineStr"/>
      <c r="B56" s="25" t="inlineStr"/>
      <c r="C56" s="25" t="inlineStr"/>
      <c r="D56" s="26">
        <f>IF(OR(B56=0,C56=0),"",B56+C56)</f>
        <v/>
      </c>
      <c r="E56" s="26">
        <f>IF(D56="","",D56-$B$15)</f>
        <v/>
      </c>
      <c r="F56" s="27">
        <f>IF(C56=0,"",ABS(C56)/$B$7)</f>
        <v/>
      </c>
      <c r="G56" s="28" t="inlineStr"/>
    </row>
    <row r="57" ht="17" customHeight="1">
      <c r="A57" s="29" t="inlineStr"/>
      <c r="B57" s="30" t="inlineStr"/>
      <c r="C57" s="30" t="inlineStr"/>
      <c r="D57" s="31">
        <f>IF(OR(B57=0,C57=0),"",B57+C57)</f>
        <v/>
      </c>
      <c r="E57" s="31">
        <f>IF(D57="","",D57-$B$15)</f>
        <v/>
      </c>
      <c r="F57" s="32">
        <f>IF(C57=0,"",ABS(C57)/$B$7)</f>
        <v/>
      </c>
      <c r="G57" s="33" t="inlineStr"/>
    </row>
    <row r="58" ht="17" customHeight="1">
      <c r="A58" s="24" t="inlineStr"/>
      <c r="B58" s="25" t="inlineStr"/>
      <c r="C58" s="25" t="inlineStr"/>
      <c r="D58" s="26">
        <f>IF(OR(B58=0,C58=0),"",B58+C58)</f>
        <v/>
      </c>
      <c r="E58" s="26">
        <f>IF(D58="","",D58-$B$15)</f>
        <v/>
      </c>
      <c r="F58" s="27">
        <f>IF(C58=0,"",ABS(C58)/$B$7)</f>
        <v/>
      </c>
      <c r="G58" s="28" t="inlineStr"/>
    </row>
    <row r="59" ht="17" customHeight="1">
      <c r="A59" s="29" t="inlineStr"/>
      <c r="B59" s="30" t="inlineStr"/>
      <c r="C59" s="30" t="inlineStr"/>
      <c r="D59" s="31">
        <f>IF(OR(B59=0,C59=0),"",B59+C59)</f>
        <v/>
      </c>
      <c r="E59" s="31">
        <f>IF(D59="","",D59-$B$15)</f>
        <v/>
      </c>
      <c r="F59" s="32">
        <f>IF(C59=0,"",ABS(C59)/$B$7)</f>
        <v/>
      </c>
      <c r="G59" s="33" t="inlineStr"/>
    </row>
    <row r="60" ht="17" customHeight="1">
      <c r="A60" s="24" t="inlineStr"/>
      <c r="B60" s="25" t="inlineStr"/>
      <c r="C60" s="25" t="inlineStr"/>
      <c r="D60" s="26">
        <f>IF(OR(B60=0,C60=0),"",B60+C60)</f>
        <v/>
      </c>
      <c r="E60" s="26">
        <f>IF(D60="","",D60-$B$15)</f>
        <v/>
      </c>
      <c r="F60" s="27">
        <f>IF(C60=0,"",ABS(C60)/$B$7)</f>
        <v/>
      </c>
      <c r="G60" s="28" t="inlineStr"/>
    </row>
    <row r="61" ht="17" customHeight="1">
      <c r="A61" s="29" t="inlineStr"/>
      <c r="B61" s="30" t="inlineStr"/>
      <c r="C61" s="30" t="inlineStr"/>
      <c r="D61" s="31">
        <f>IF(OR(B61=0,C61=0),"",B61+C61)</f>
        <v/>
      </c>
      <c r="E61" s="31">
        <f>IF(D61="","",D61-$B$15)</f>
        <v/>
      </c>
      <c r="F61" s="32">
        <f>IF(C61=0,"",ABS(C61)/$B$7)</f>
        <v/>
      </c>
      <c r="G61" s="33" t="inlineStr"/>
    </row>
    <row r="62" ht="17" customHeight="1">
      <c r="A62" s="24" t="inlineStr"/>
      <c r="B62" s="25" t="inlineStr"/>
      <c r="C62" s="25" t="inlineStr"/>
      <c r="D62" s="26">
        <f>IF(OR(B62=0,C62=0),"",B62+C62)</f>
        <v/>
      </c>
      <c r="E62" s="26">
        <f>IF(D62="","",D62-$B$15)</f>
        <v/>
      </c>
      <c r="F62" s="27">
        <f>IF(C62=0,"",ABS(C62)/$B$7)</f>
        <v/>
      </c>
      <c r="G62" s="28" t="inlineStr"/>
    </row>
    <row r="63" ht="17" customHeight="1">
      <c r="A63" s="29" t="inlineStr"/>
      <c r="B63" s="30" t="inlineStr"/>
      <c r="C63" s="30" t="inlineStr"/>
      <c r="D63" s="31">
        <f>IF(OR(B63=0,C63=0),"",B63+C63)</f>
        <v/>
      </c>
      <c r="E63" s="31">
        <f>IF(D63="","",D63-$B$15)</f>
        <v/>
      </c>
      <c r="F63" s="32">
        <f>IF(C63=0,"",ABS(C63)/$B$7)</f>
        <v/>
      </c>
      <c r="G63" s="33" t="inlineStr"/>
    </row>
    <row r="64" ht="17" customHeight="1">
      <c r="A64" s="24" t="inlineStr"/>
      <c r="B64" s="25" t="inlineStr"/>
      <c r="C64" s="25" t="inlineStr"/>
      <c r="D64" s="26">
        <f>IF(OR(B64=0,C64=0),"",B64+C64)</f>
        <v/>
      </c>
      <c r="E64" s="26">
        <f>IF(D64="","",D64-$B$15)</f>
        <v/>
      </c>
      <c r="F64" s="27">
        <f>IF(C64=0,"",ABS(C64)/$B$7)</f>
        <v/>
      </c>
      <c r="G64" s="28" t="inlineStr"/>
    </row>
    <row r="65" ht="17" customHeight="1">
      <c r="A65" s="29" t="inlineStr"/>
      <c r="B65" s="30" t="inlineStr"/>
      <c r="C65" s="30" t="inlineStr"/>
      <c r="D65" s="31">
        <f>IF(OR(B65=0,C65=0),"",B65+C65)</f>
        <v/>
      </c>
      <c r="E65" s="31">
        <f>IF(D65="","",D65-$B$15)</f>
        <v/>
      </c>
      <c r="F65" s="32">
        <f>IF(C65=0,"",ABS(C65)/$B$7)</f>
        <v/>
      </c>
      <c r="G65" s="33" t="inlineStr"/>
    </row>
    <row r="66" ht="17" customHeight="1">
      <c r="A66" s="24" t="inlineStr"/>
      <c r="B66" s="25" t="inlineStr"/>
      <c r="C66" s="25" t="inlineStr"/>
      <c r="D66" s="26">
        <f>IF(OR(B66=0,C66=0),"",B66+C66)</f>
        <v/>
      </c>
      <c r="E66" s="26">
        <f>IF(D66="","",D66-$B$15)</f>
        <v/>
      </c>
      <c r="F66" s="27">
        <f>IF(C66=0,"",ABS(C66)/$B$7)</f>
        <v/>
      </c>
      <c r="G66" s="28" t="inlineStr"/>
    </row>
    <row r="67" ht="17" customHeight="1">
      <c r="A67" s="29" t="inlineStr"/>
      <c r="B67" s="30" t="inlineStr"/>
      <c r="C67" s="30" t="inlineStr"/>
      <c r="D67" s="31">
        <f>IF(OR(B67=0,C67=0),"",B67+C67)</f>
        <v/>
      </c>
      <c r="E67" s="31">
        <f>IF(D67="","",D67-$B$15)</f>
        <v/>
      </c>
      <c r="F67" s="32">
        <f>IF(C67=0,"",ABS(C67)/$B$7)</f>
        <v/>
      </c>
      <c r="G67" s="33" t="inlineStr"/>
    </row>
    <row r="68" ht="17" customHeight="1">
      <c r="A68" s="24" t="inlineStr"/>
      <c r="B68" s="25" t="inlineStr"/>
      <c r="C68" s="25" t="inlineStr"/>
      <c r="D68" s="26">
        <f>IF(OR(B68=0,C68=0),"",B68+C68)</f>
        <v/>
      </c>
      <c r="E68" s="26">
        <f>IF(D68="","",D68-$B$15)</f>
        <v/>
      </c>
      <c r="F68" s="27">
        <f>IF(C68=0,"",ABS(C68)/$B$7)</f>
        <v/>
      </c>
      <c r="G68" s="28" t="inlineStr"/>
    </row>
    <row r="69" ht="17" customHeight="1">
      <c r="A69" s="29" t="inlineStr"/>
      <c r="B69" s="30" t="inlineStr"/>
      <c r="C69" s="30" t="inlineStr"/>
      <c r="D69" s="31">
        <f>IF(OR(B69=0,C69=0),"",B69+C69)</f>
        <v/>
      </c>
      <c r="E69" s="31">
        <f>IF(D69="","",D69-$B$15)</f>
        <v/>
      </c>
      <c r="F69" s="32">
        <f>IF(C69=0,"",ABS(C69)/$B$7)</f>
        <v/>
      </c>
      <c r="G69" s="33" t="inlineStr"/>
    </row>
    <row r="70" ht="17" customHeight="1">
      <c r="A70" s="24" t="inlineStr"/>
      <c r="B70" s="25" t="inlineStr"/>
      <c r="C70" s="25" t="inlineStr"/>
      <c r="D70" s="26">
        <f>IF(OR(B70=0,C70=0),"",B70+C70)</f>
        <v/>
      </c>
      <c r="E70" s="26">
        <f>IF(D70="","",D70-$B$15)</f>
        <v/>
      </c>
      <c r="F70" s="27">
        <f>IF(C70=0,"",ABS(C70)/$B$7)</f>
        <v/>
      </c>
      <c r="G70" s="28" t="inlineStr"/>
    </row>
    <row r="71" ht="17" customHeight="1">
      <c r="A71" s="29" t="inlineStr"/>
      <c r="B71" s="30" t="inlineStr"/>
      <c r="C71" s="30" t="inlineStr"/>
      <c r="D71" s="31">
        <f>IF(OR(B71=0,C71=0),"",B71+C71)</f>
        <v/>
      </c>
      <c r="E71" s="31">
        <f>IF(D71="","",D71-$B$15)</f>
        <v/>
      </c>
      <c r="F71" s="32">
        <f>IF(C71=0,"",ABS(C71)/$B$7)</f>
        <v/>
      </c>
      <c r="G71" s="33" t="inlineStr"/>
    </row>
    <row r="72" ht="17" customHeight="1">
      <c r="A72" s="24" t="inlineStr"/>
      <c r="B72" s="25" t="inlineStr"/>
      <c r="C72" s="25" t="inlineStr"/>
      <c r="D72" s="26">
        <f>IF(OR(B72=0,C72=0),"",B72+C72)</f>
        <v/>
      </c>
      <c r="E72" s="26">
        <f>IF(D72="","",D72-$B$15)</f>
        <v/>
      </c>
      <c r="F72" s="27">
        <f>IF(C72=0,"",ABS(C72)/$B$7)</f>
        <v/>
      </c>
      <c r="G72" s="28" t="inlineStr"/>
    </row>
    <row r="73" ht="17" customHeight="1">
      <c r="A73" s="29" t="inlineStr"/>
      <c r="B73" s="30" t="inlineStr"/>
      <c r="C73" s="30" t="inlineStr"/>
      <c r="D73" s="31">
        <f>IF(OR(B73=0,C73=0),"",B73+C73)</f>
        <v/>
      </c>
      <c r="E73" s="31">
        <f>IF(D73="","",D73-$B$15)</f>
        <v/>
      </c>
      <c r="F73" s="32">
        <f>IF(C73=0,"",ABS(C73)/$B$7)</f>
        <v/>
      </c>
      <c r="G73" s="33" t="inlineStr"/>
    </row>
  </sheetData>
  <mergeCells count="4">
    <mergeCell ref="A14:B14"/>
    <mergeCell ref="A3:B3"/>
    <mergeCell ref="A22:G2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0B981"/>
    <outlinePr summaryBelow="1" summaryRight="1"/>
    <pageSetUpPr/>
  </sheetPr>
  <dimension ref="A1:P2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10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5" customWidth="1" min="10" max="10"/>
    <col width="9" customWidth="1" min="11" max="11"/>
    <col width="10" customWidth="1" min="12" max="12"/>
    <col width="18" customWidth="1" min="13" max="13"/>
    <col width="16" customWidth="1" min="14" max="14"/>
    <col width="7" customWidth="1" min="15" max="15"/>
    <col width="34" customWidth="1" min="16" max="16"/>
  </cols>
  <sheetData>
    <row r="1" ht="28" customHeight="1">
      <c r="A1" s="1" t="inlineStr">
        <is>
          <t>📓  TRADE JOURNAL</t>
        </is>
      </c>
    </row>
    <row r="2" ht="20" customHeight="1">
      <c r="A2" s="34" t="inlineStr">
        <is>
          <t>ID</t>
        </is>
      </c>
      <c r="B2" s="34" t="inlineStr">
        <is>
          <t>Date</t>
        </is>
      </c>
      <c r="C2" s="34" t="inlineStr">
        <is>
          <t>Session</t>
        </is>
      </c>
      <c r="D2" s="34" t="inlineStr">
        <is>
          <t>Instrument</t>
        </is>
      </c>
      <c r="E2" s="34" t="inlineStr">
        <is>
          <t>Setup</t>
        </is>
      </c>
      <c r="F2" s="34" t="inlineStr">
        <is>
          <t>Entry</t>
        </is>
      </c>
      <c r="G2" s="34" t="inlineStr">
        <is>
          <t>Stop</t>
        </is>
      </c>
      <c r="H2" s="34" t="inlineStr">
        <is>
          <t>Target</t>
        </is>
      </c>
      <c r="I2" s="34" t="inlineStr">
        <is>
          <t>Exit</t>
        </is>
      </c>
      <c r="J2" s="34" t="inlineStr">
        <is>
          <t>Contr</t>
        </is>
      </c>
      <c r="K2" s="34" t="inlineStr">
        <is>
          <t>R</t>
        </is>
      </c>
      <c r="L2" s="34" t="inlineStr">
        <is>
          <t>P/L $</t>
        </is>
      </c>
      <c r="M2" s="34" t="inlineStr">
        <is>
          <t>Mistake</t>
        </is>
      </c>
      <c r="N2" s="34" t="inlineStr">
        <is>
          <t>Emotion</t>
        </is>
      </c>
      <c r="O2" s="34" t="inlineStr">
        <is>
          <t>Grade</t>
        </is>
      </c>
      <c r="P2" s="34" t="inlineStr">
        <is>
          <t>Notes</t>
        </is>
      </c>
    </row>
    <row r="3" ht="17" customHeight="1">
      <c r="A3" s="35" t="inlineStr"/>
      <c r="B3" s="36" t="inlineStr"/>
      <c r="C3" s="37" t="inlineStr"/>
      <c r="D3" s="37" t="inlineStr"/>
      <c r="E3" s="37" t="inlineStr"/>
      <c r="F3" s="38" t="inlineStr"/>
      <c r="G3" s="38" t="inlineStr"/>
      <c r="H3" s="38" t="inlineStr"/>
      <c r="I3" s="38" t="inlineStr"/>
      <c r="J3" s="35" t="inlineStr"/>
      <c r="K3" s="39" t="inlineStr"/>
      <c r="L3" s="40" t="inlineStr"/>
      <c r="M3" s="37" t="inlineStr"/>
      <c r="N3" s="37" t="inlineStr"/>
      <c r="O3" s="41" t="inlineStr"/>
      <c r="P3" s="13" t="inlineStr"/>
    </row>
    <row r="4" ht="17" customHeight="1">
      <c r="A4" s="42" t="inlineStr"/>
      <c r="B4" s="43" t="inlineStr"/>
      <c r="C4" s="44" t="inlineStr"/>
      <c r="D4" s="44" t="inlineStr"/>
      <c r="E4" s="44" t="inlineStr"/>
      <c r="F4" s="45" t="inlineStr"/>
      <c r="G4" s="45" t="inlineStr"/>
      <c r="H4" s="45" t="inlineStr"/>
      <c r="I4" s="45" t="inlineStr"/>
      <c r="J4" s="42" t="inlineStr"/>
      <c r="K4" s="46" t="inlineStr"/>
      <c r="L4" s="47" t="inlineStr"/>
      <c r="M4" s="44" t="inlineStr"/>
      <c r="N4" s="44" t="inlineStr"/>
      <c r="O4" s="48" t="inlineStr"/>
      <c r="P4" s="49" t="inlineStr"/>
    </row>
    <row r="5" ht="17" customHeight="1">
      <c r="A5" s="35" t="inlineStr"/>
      <c r="B5" s="36" t="inlineStr"/>
      <c r="C5" s="37" t="inlineStr"/>
      <c r="D5" s="37" t="inlineStr"/>
      <c r="E5" s="37" t="inlineStr"/>
      <c r="F5" s="38" t="inlineStr"/>
      <c r="G5" s="38" t="inlineStr"/>
      <c r="H5" s="38" t="inlineStr"/>
      <c r="I5" s="38" t="inlineStr"/>
      <c r="J5" s="35" t="inlineStr"/>
      <c r="K5" s="39" t="inlineStr"/>
      <c r="L5" s="40" t="inlineStr"/>
      <c r="M5" s="37" t="inlineStr"/>
      <c r="N5" s="37" t="inlineStr"/>
      <c r="O5" s="41" t="inlineStr"/>
      <c r="P5" s="13" t="inlineStr"/>
    </row>
    <row r="6" ht="17" customHeight="1">
      <c r="A6" s="42" t="inlineStr"/>
      <c r="B6" s="43" t="inlineStr"/>
      <c r="C6" s="44" t="inlineStr"/>
      <c r="D6" s="44" t="inlineStr"/>
      <c r="E6" s="44" t="inlineStr"/>
      <c r="F6" s="45" t="inlineStr"/>
      <c r="G6" s="45" t="inlineStr"/>
      <c r="H6" s="45" t="inlineStr"/>
      <c r="I6" s="45" t="inlineStr"/>
      <c r="J6" s="42" t="inlineStr"/>
      <c r="K6" s="46" t="inlineStr"/>
      <c r="L6" s="47" t="inlineStr"/>
      <c r="M6" s="44" t="inlineStr"/>
      <c r="N6" s="44" t="inlineStr"/>
      <c r="O6" s="48" t="inlineStr"/>
      <c r="P6" s="49" t="inlineStr"/>
    </row>
    <row r="7" ht="17" customHeight="1">
      <c r="A7" s="35" t="inlineStr"/>
      <c r="B7" s="36" t="inlineStr"/>
      <c r="C7" s="37" t="inlineStr"/>
      <c r="D7" s="37" t="inlineStr"/>
      <c r="E7" s="37" t="inlineStr"/>
      <c r="F7" s="38" t="inlineStr"/>
      <c r="G7" s="38" t="inlineStr"/>
      <c r="H7" s="38" t="inlineStr"/>
      <c r="I7" s="38" t="inlineStr"/>
      <c r="J7" s="35" t="inlineStr"/>
      <c r="K7" s="39" t="inlineStr"/>
      <c r="L7" s="40" t="inlineStr"/>
      <c r="M7" s="37" t="inlineStr"/>
      <c r="N7" s="37" t="inlineStr"/>
      <c r="O7" s="41" t="inlineStr"/>
      <c r="P7" s="13" t="inlineStr"/>
    </row>
    <row r="8" ht="17" customHeight="1">
      <c r="A8" s="42" t="inlineStr"/>
      <c r="B8" s="43" t="inlineStr"/>
      <c r="C8" s="44" t="inlineStr"/>
      <c r="D8" s="44" t="inlineStr"/>
      <c r="E8" s="44" t="inlineStr"/>
      <c r="F8" s="45" t="inlineStr"/>
      <c r="G8" s="45" t="inlineStr"/>
      <c r="H8" s="45" t="inlineStr"/>
      <c r="I8" s="45" t="inlineStr"/>
      <c r="J8" s="42" t="inlineStr"/>
      <c r="K8" s="46" t="inlineStr"/>
      <c r="L8" s="47" t="inlineStr"/>
      <c r="M8" s="44" t="inlineStr"/>
      <c r="N8" s="44" t="inlineStr"/>
      <c r="O8" s="48" t="inlineStr"/>
      <c r="P8" s="49" t="inlineStr"/>
    </row>
    <row r="9" ht="17" customHeight="1">
      <c r="A9" s="35" t="inlineStr"/>
      <c r="B9" s="36" t="inlineStr"/>
      <c r="C9" s="37" t="inlineStr"/>
      <c r="D9" s="37" t="inlineStr"/>
      <c r="E9" s="37" t="inlineStr"/>
      <c r="F9" s="38" t="inlineStr"/>
      <c r="G9" s="38" t="inlineStr"/>
      <c r="H9" s="38" t="inlineStr"/>
      <c r="I9" s="38" t="inlineStr"/>
      <c r="J9" s="35" t="inlineStr"/>
      <c r="K9" s="39" t="inlineStr"/>
      <c r="L9" s="40" t="inlineStr"/>
      <c r="M9" s="37" t="inlineStr"/>
      <c r="N9" s="37" t="inlineStr"/>
      <c r="O9" s="41" t="inlineStr"/>
      <c r="P9" s="13" t="inlineStr"/>
    </row>
    <row r="10" ht="17" customHeight="1">
      <c r="A10" s="42" t="inlineStr"/>
      <c r="B10" s="43" t="inlineStr"/>
      <c r="C10" s="44" t="inlineStr"/>
      <c r="D10" s="44" t="inlineStr"/>
      <c r="E10" s="44" t="inlineStr"/>
      <c r="F10" s="45" t="inlineStr"/>
      <c r="G10" s="45" t="inlineStr"/>
      <c r="H10" s="45" t="inlineStr"/>
      <c r="I10" s="45" t="inlineStr"/>
      <c r="J10" s="42" t="inlineStr"/>
      <c r="K10" s="46" t="inlineStr"/>
      <c r="L10" s="47" t="inlineStr"/>
      <c r="M10" s="44" t="inlineStr"/>
      <c r="N10" s="44" t="inlineStr"/>
      <c r="O10" s="48" t="inlineStr"/>
      <c r="P10" s="49" t="inlineStr"/>
    </row>
    <row r="11" ht="17" customHeight="1">
      <c r="A11" s="35" t="inlineStr"/>
      <c r="B11" s="36" t="inlineStr"/>
      <c r="C11" s="37" t="inlineStr"/>
      <c r="D11" s="37" t="inlineStr"/>
      <c r="E11" s="37" t="inlineStr"/>
      <c r="F11" s="38" t="inlineStr"/>
      <c r="G11" s="38" t="inlineStr"/>
      <c r="H11" s="38" t="inlineStr"/>
      <c r="I11" s="38" t="inlineStr"/>
      <c r="J11" s="35" t="inlineStr"/>
      <c r="K11" s="39" t="inlineStr"/>
      <c r="L11" s="40" t="inlineStr"/>
      <c r="M11" s="37" t="inlineStr"/>
      <c r="N11" s="37" t="inlineStr"/>
      <c r="O11" s="41" t="inlineStr"/>
      <c r="P11" s="13" t="inlineStr"/>
    </row>
    <row r="12" ht="17" customHeight="1">
      <c r="A12" s="42" t="inlineStr"/>
      <c r="B12" s="43" t="inlineStr"/>
      <c r="C12" s="44" t="inlineStr"/>
      <c r="D12" s="44" t="inlineStr"/>
      <c r="E12" s="44" t="inlineStr"/>
      <c r="F12" s="45" t="inlineStr"/>
      <c r="G12" s="45" t="inlineStr"/>
      <c r="H12" s="45" t="inlineStr"/>
      <c r="I12" s="45" t="inlineStr"/>
      <c r="J12" s="42" t="inlineStr"/>
      <c r="K12" s="46" t="inlineStr"/>
      <c r="L12" s="47" t="inlineStr"/>
      <c r="M12" s="44" t="inlineStr"/>
      <c r="N12" s="44" t="inlineStr"/>
      <c r="O12" s="48" t="inlineStr"/>
      <c r="P12" s="49" t="inlineStr"/>
    </row>
    <row r="13" ht="17" customHeight="1">
      <c r="A13" s="35" t="inlineStr"/>
      <c r="B13" s="36" t="inlineStr"/>
      <c r="C13" s="37" t="inlineStr"/>
      <c r="D13" s="37" t="inlineStr"/>
      <c r="E13" s="37" t="inlineStr"/>
      <c r="F13" s="38" t="inlineStr"/>
      <c r="G13" s="38" t="inlineStr"/>
      <c r="H13" s="38" t="inlineStr"/>
      <c r="I13" s="38" t="inlineStr"/>
      <c r="J13" s="35" t="inlineStr"/>
      <c r="K13" s="39" t="inlineStr"/>
      <c r="L13" s="40" t="inlineStr"/>
      <c r="M13" s="37" t="inlineStr"/>
      <c r="N13" s="37" t="inlineStr"/>
      <c r="O13" s="41" t="inlineStr"/>
      <c r="P13" s="13" t="inlineStr"/>
    </row>
    <row r="14" ht="17" customHeight="1">
      <c r="A14" s="42" t="inlineStr"/>
      <c r="B14" s="43" t="inlineStr"/>
      <c r="C14" s="44" t="inlineStr"/>
      <c r="D14" s="44" t="inlineStr"/>
      <c r="E14" s="44" t="inlineStr"/>
      <c r="F14" s="45" t="inlineStr"/>
      <c r="G14" s="45" t="inlineStr"/>
      <c r="H14" s="45" t="inlineStr"/>
      <c r="I14" s="45" t="inlineStr"/>
      <c r="J14" s="42" t="inlineStr"/>
      <c r="K14" s="46" t="inlineStr"/>
      <c r="L14" s="47" t="inlineStr"/>
      <c r="M14" s="44" t="inlineStr"/>
      <c r="N14" s="44" t="inlineStr"/>
      <c r="O14" s="48" t="inlineStr"/>
      <c r="P14" s="49" t="inlineStr"/>
    </row>
    <row r="15" ht="17" customHeight="1">
      <c r="A15" s="35" t="inlineStr"/>
      <c r="B15" s="36" t="inlineStr"/>
      <c r="C15" s="37" t="inlineStr"/>
      <c r="D15" s="37" t="inlineStr"/>
      <c r="E15" s="37" t="inlineStr"/>
      <c r="F15" s="38" t="inlineStr"/>
      <c r="G15" s="38" t="inlineStr"/>
      <c r="H15" s="38" t="inlineStr"/>
      <c r="I15" s="38" t="inlineStr"/>
      <c r="J15" s="35" t="inlineStr"/>
      <c r="K15" s="39" t="inlineStr"/>
      <c r="L15" s="40" t="inlineStr"/>
      <c r="M15" s="37" t="inlineStr"/>
      <c r="N15" s="37" t="inlineStr"/>
      <c r="O15" s="41" t="inlineStr"/>
      <c r="P15" s="13" t="inlineStr"/>
    </row>
    <row r="16" ht="17" customHeight="1">
      <c r="A16" s="42" t="inlineStr"/>
      <c r="B16" s="43" t="inlineStr"/>
      <c r="C16" s="44" t="inlineStr"/>
      <c r="D16" s="44" t="inlineStr"/>
      <c r="E16" s="44" t="inlineStr"/>
      <c r="F16" s="45" t="inlineStr"/>
      <c r="G16" s="45" t="inlineStr"/>
      <c r="H16" s="45" t="inlineStr"/>
      <c r="I16" s="45" t="inlineStr"/>
      <c r="J16" s="42" t="inlineStr"/>
      <c r="K16" s="46" t="inlineStr"/>
      <c r="L16" s="47" t="inlineStr"/>
      <c r="M16" s="44" t="inlineStr"/>
      <c r="N16" s="44" t="inlineStr"/>
      <c r="O16" s="48" t="inlineStr"/>
      <c r="P16" s="49" t="inlineStr"/>
    </row>
    <row r="17" ht="17" customHeight="1">
      <c r="A17" s="35" t="inlineStr"/>
      <c r="B17" s="36" t="inlineStr"/>
      <c r="C17" s="37" t="inlineStr"/>
      <c r="D17" s="37" t="inlineStr"/>
      <c r="E17" s="37" t="inlineStr"/>
      <c r="F17" s="38" t="inlineStr"/>
      <c r="G17" s="38" t="inlineStr"/>
      <c r="H17" s="38" t="inlineStr"/>
      <c r="I17" s="38" t="inlineStr"/>
      <c r="J17" s="35" t="inlineStr"/>
      <c r="K17" s="39" t="inlineStr"/>
      <c r="L17" s="40" t="inlineStr"/>
      <c r="M17" s="37" t="inlineStr"/>
      <c r="N17" s="37" t="inlineStr"/>
      <c r="O17" s="41" t="inlineStr"/>
      <c r="P17" s="13" t="inlineStr"/>
    </row>
    <row r="18" ht="17" customHeight="1">
      <c r="A18" s="42" t="inlineStr"/>
      <c r="B18" s="43" t="inlineStr"/>
      <c r="C18" s="44" t="inlineStr"/>
      <c r="D18" s="44" t="inlineStr"/>
      <c r="E18" s="44" t="inlineStr"/>
      <c r="F18" s="45" t="inlineStr"/>
      <c r="G18" s="45" t="inlineStr"/>
      <c r="H18" s="45" t="inlineStr"/>
      <c r="I18" s="45" t="inlineStr"/>
      <c r="J18" s="42" t="inlineStr"/>
      <c r="K18" s="46" t="inlineStr"/>
      <c r="L18" s="47" t="inlineStr"/>
      <c r="M18" s="44" t="inlineStr"/>
      <c r="N18" s="44" t="inlineStr"/>
      <c r="O18" s="48" t="inlineStr"/>
      <c r="P18" s="49" t="inlineStr"/>
    </row>
    <row r="19" ht="17" customHeight="1">
      <c r="A19" s="35" t="inlineStr"/>
      <c r="B19" s="36" t="inlineStr"/>
      <c r="C19" s="37" t="inlineStr"/>
      <c r="D19" s="37" t="inlineStr"/>
      <c r="E19" s="37" t="inlineStr"/>
      <c r="F19" s="38" t="inlineStr"/>
      <c r="G19" s="38" t="inlineStr"/>
      <c r="H19" s="38" t="inlineStr"/>
      <c r="I19" s="38" t="inlineStr"/>
      <c r="J19" s="35" t="inlineStr"/>
      <c r="K19" s="39" t="inlineStr"/>
      <c r="L19" s="40" t="inlineStr"/>
      <c r="M19" s="37" t="inlineStr"/>
      <c r="N19" s="37" t="inlineStr"/>
      <c r="O19" s="41" t="inlineStr"/>
      <c r="P19" s="13" t="inlineStr"/>
    </row>
    <row r="20" ht="17" customHeight="1">
      <c r="A20" s="42" t="inlineStr"/>
      <c r="B20" s="43" t="inlineStr"/>
      <c r="C20" s="44" t="inlineStr"/>
      <c r="D20" s="44" t="inlineStr"/>
      <c r="E20" s="44" t="inlineStr"/>
      <c r="F20" s="45" t="inlineStr"/>
      <c r="G20" s="45" t="inlineStr"/>
      <c r="H20" s="45" t="inlineStr"/>
      <c r="I20" s="45" t="inlineStr"/>
      <c r="J20" s="42" t="inlineStr"/>
      <c r="K20" s="46" t="inlineStr"/>
      <c r="L20" s="47" t="inlineStr"/>
      <c r="M20" s="44" t="inlineStr"/>
      <c r="N20" s="44" t="inlineStr"/>
      <c r="O20" s="48" t="inlineStr"/>
      <c r="P20" s="49" t="inlineStr"/>
    </row>
    <row r="21" ht="17" customHeight="1">
      <c r="A21" s="35" t="inlineStr"/>
      <c r="B21" s="36" t="inlineStr"/>
      <c r="C21" s="37" t="inlineStr"/>
      <c r="D21" s="37" t="inlineStr"/>
      <c r="E21" s="37" t="inlineStr"/>
      <c r="F21" s="38" t="inlineStr"/>
      <c r="G21" s="38" t="inlineStr"/>
      <c r="H21" s="38" t="inlineStr"/>
      <c r="I21" s="38" t="inlineStr"/>
      <c r="J21" s="35" t="inlineStr"/>
      <c r="K21" s="39" t="inlineStr"/>
      <c r="L21" s="40" t="inlineStr"/>
      <c r="M21" s="37" t="inlineStr"/>
      <c r="N21" s="37" t="inlineStr"/>
      <c r="O21" s="41" t="inlineStr"/>
      <c r="P21" s="13" t="inlineStr"/>
    </row>
    <row r="22" ht="17" customHeight="1">
      <c r="A22" s="42" t="inlineStr"/>
      <c r="B22" s="43" t="inlineStr"/>
      <c r="C22" s="44" t="inlineStr"/>
      <c r="D22" s="44" t="inlineStr"/>
      <c r="E22" s="44" t="inlineStr"/>
      <c r="F22" s="45" t="inlineStr"/>
      <c r="G22" s="45" t="inlineStr"/>
      <c r="H22" s="45" t="inlineStr"/>
      <c r="I22" s="45" t="inlineStr"/>
      <c r="J22" s="42" t="inlineStr"/>
      <c r="K22" s="46" t="inlineStr"/>
      <c r="L22" s="47" t="inlineStr"/>
      <c r="M22" s="44" t="inlineStr"/>
      <c r="N22" s="44" t="inlineStr"/>
      <c r="O22" s="48" t="inlineStr"/>
      <c r="P22" s="49" t="inlineStr"/>
    </row>
    <row r="23" ht="17" customHeight="1">
      <c r="A23" s="35" t="inlineStr"/>
      <c r="B23" s="36" t="inlineStr"/>
      <c r="C23" s="37" t="inlineStr"/>
      <c r="D23" s="37" t="inlineStr"/>
      <c r="E23" s="37" t="inlineStr"/>
      <c r="F23" s="38" t="inlineStr"/>
      <c r="G23" s="38" t="inlineStr"/>
      <c r="H23" s="38" t="inlineStr"/>
      <c r="I23" s="38" t="inlineStr"/>
      <c r="J23" s="35" t="inlineStr"/>
      <c r="K23" s="39" t="inlineStr"/>
      <c r="L23" s="40" t="inlineStr"/>
      <c r="M23" s="37" t="inlineStr"/>
      <c r="N23" s="37" t="inlineStr"/>
      <c r="O23" s="41" t="inlineStr"/>
      <c r="P23" s="13" t="inlineStr"/>
    </row>
    <row r="24" ht="17" customHeight="1">
      <c r="A24" s="42" t="inlineStr"/>
      <c r="B24" s="43" t="inlineStr"/>
      <c r="C24" s="44" t="inlineStr"/>
      <c r="D24" s="44" t="inlineStr"/>
      <c r="E24" s="44" t="inlineStr"/>
      <c r="F24" s="45" t="inlineStr"/>
      <c r="G24" s="45" t="inlineStr"/>
      <c r="H24" s="45" t="inlineStr"/>
      <c r="I24" s="45" t="inlineStr"/>
      <c r="J24" s="42" t="inlineStr"/>
      <c r="K24" s="46" t="inlineStr"/>
      <c r="L24" s="47" t="inlineStr"/>
      <c r="M24" s="44" t="inlineStr"/>
      <c r="N24" s="44" t="inlineStr"/>
      <c r="O24" s="48" t="inlineStr"/>
      <c r="P24" s="49" t="inlineStr"/>
    </row>
    <row r="25" ht="17" customHeight="1">
      <c r="A25" s="35" t="inlineStr"/>
      <c r="B25" s="36" t="inlineStr"/>
      <c r="C25" s="37" t="inlineStr"/>
      <c r="D25" s="37" t="inlineStr"/>
      <c r="E25" s="37" t="inlineStr"/>
      <c r="F25" s="38" t="inlineStr"/>
      <c r="G25" s="38" t="inlineStr"/>
      <c r="H25" s="38" t="inlineStr"/>
      <c r="I25" s="38" t="inlineStr"/>
      <c r="J25" s="35" t="inlineStr"/>
      <c r="K25" s="39" t="inlineStr"/>
      <c r="L25" s="40" t="inlineStr"/>
      <c r="M25" s="37" t="inlineStr"/>
      <c r="N25" s="37" t="inlineStr"/>
      <c r="O25" s="41" t="inlineStr"/>
      <c r="P25" s="13" t="inlineStr"/>
    </row>
    <row r="26" ht="17" customHeight="1">
      <c r="A26" s="42" t="inlineStr"/>
      <c r="B26" s="43" t="inlineStr"/>
      <c r="C26" s="44" t="inlineStr"/>
      <c r="D26" s="44" t="inlineStr"/>
      <c r="E26" s="44" t="inlineStr"/>
      <c r="F26" s="45" t="inlineStr"/>
      <c r="G26" s="45" t="inlineStr"/>
      <c r="H26" s="45" t="inlineStr"/>
      <c r="I26" s="45" t="inlineStr"/>
      <c r="J26" s="42" t="inlineStr"/>
      <c r="K26" s="46" t="inlineStr"/>
      <c r="L26" s="47" t="inlineStr"/>
      <c r="M26" s="44" t="inlineStr"/>
      <c r="N26" s="44" t="inlineStr"/>
      <c r="O26" s="48" t="inlineStr"/>
      <c r="P26" s="49" t="inlineStr"/>
    </row>
    <row r="27" ht="17" customHeight="1">
      <c r="A27" s="35" t="inlineStr"/>
      <c r="B27" s="36" t="inlineStr"/>
      <c r="C27" s="37" t="inlineStr"/>
      <c r="D27" s="37" t="inlineStr"/>
      <c r="E27" s="37" t="inlineStr"/>
      <c r="F27" s="38" t="inlineStr"/>
      <c r="G27" s="38" t="inlineStr"/>
      <c r="H27" s="38" t="inlineStr"/>
      <c r="I27" s="38" t="inlineStr"/>
      <c r="J27" s="35" t="inlineStr"/>
      <c r="K27" s="39" t="inlineStr"/>
      <c r="L27" s="40" t="inlineStr"/>
      <c r="M27" s="37" t="inlineStr"/>
      <c r="N27" s="37" t="inlineStr"/>
      <c r="O27" s="41" t="inlineStr"/>
      <c r="P27" s="13" t="inlineStr"/>
    </row>
    <row r="28" ht="17" customHeight="1">
      <c r="A28" s="42" t="inlineStr"/>
      <c r="B28" s="43" t="inlineStr"/>
      <c r="C28" s="44" t="inlineStr"/>
      <c r="D28" s="44" t="inlineStr"/>
      <c r="E28" s="44" t="inlineStr"/>
      <c r="F28" s="45" t="inlineStr"/>
      <c r="G28" s="45" t="inlineStr"/>
      <c r="H28" s="45" t="inlineStr"/>
      <c r="I28" s="45" t="inlineStr"/>
      <c r="J28" s="42" t="inlineStr"/>
      <c r="K28" s="46" t="inlineStr"/>
      <c r="L28" s="47" t="inlineStr"/>
      <c r="M28" s="44" t="inlineStr"/>
      <c r="N28" s="44" t="inlineStr"/>
      <c r="O28" s="48" t="inlineStr"/>
      <c r="P28" s="49" t="inlineStr"/>
    </row>
    <row r="29" ht="17" customHeight="1">
      <c r="A29" s="35" t="inlineStr"/>
      <c r="B29" s="36" t="inlineStr"/>
      <c r="C29" s="37" t="inlineStr"/>
      <c r="D29" s="37" t="inlineStr"/>
      <c r="E29" s="37" t="inlineStr"/>
      <c r="F29" s="38" t="inlineStr"/>
      <c r="G29" s="38" t="inlineStr"/>
      <c r="H29" s="38" t="inlineStr"/>
      <c r="I29" s="38" t="inlineStr"/>
      <c r="J29" s="35" t="inlineStr"/>
      <c r="K29" s="39" t="inlineStr"/>
      <c r="L29" s="40" t="inlineStr"/>
      <c r="M29" s="37" t="inlineStr"/>
      <c r="N29" s="37" t="inlineStr"/>
      <c r="O29" s="41" t="inlineStr"/>
      <c r="P29" s="13" t="inlineStr"/>
    </row>
    <row r="30" ht="17" customHeight="1">
      <c r="A30" s="42" t="inlineStr"/>
      <c r="B30" s="43" t="inlineStr"/>
      <c r="C30" s="44" t="inlineStr"/>
      <c r="D30" s="44" t="inlineStr"/>
      <c r="E30" s="44" t="inlineStr"/>
      <c r="F30" s="45" t="inlineStr"/>
      <c r="G30" s="45" t="inlineStr"/>
      <c r="H30" s="45" t="inlineStr"/>
      <c r="I30" s="45" t="inlineStr"/>
      <c r="J30" s="42" t="inlineStr"/>
      <c r="K30" s="46" t="inlineStr"/>
      <c r="L30" s="47" t="inlineStr"/>
      <c r="M30" s="44" t="inlineStr"/>
      <c r="N30" s="44" t="inlineStr"/>
      <c r="O30" s="48" t="inlineStr"/>
      <c r="P30" s="49" t="inlineStr"/>
    </row>
    <row r="31" ht="17" customHeight="1">
      <c r="A31" s="35" t="inlineStr"/>
      <c r="B31" s="36" t="inlineStr"/>
      <c r="C31" s="37" t="inlineStr"/>
      <c r="D31" s="37" t="inlineStr"/>
      <c r="E31" s="37" t="inlineStr"/>
      <c r="F31" s="38" t="inlineStr"/>
      <c r="G31" s="38" t="inlineStr"/>
      <c r="H31" s="38" t="inlineStr"/>
      <c r="I31" s="38" t="inlineStr"/>
      <c r="J31" s="35" t="inlineStr"/>
      <c r="K31" s="39" t="inlineStr"/>
      <c r="L31" s="40" t="inlineStr"/>
      <c r="M31" s="37" t="inlineStr"/>
      <c r="N31" s="37" t="inlineStr"/>
      <c r="O31" s="41" t="inlineStr"/>
      <c r="P31" s="13" t="inlineStr"/>
    </row>
    <row r="32" ht="17" customHeight="1">
      <c r="A32" s="42" t="inlineStr"/>
      <c r="B32" s="43" t="inlineStr"/>
      <c r="C32" s="44" t="inlineStr"/>
      <c r="D32" s="44" t="inlineStr"/>
      <c r="E32" s="44" t="inlineStr"/>
      <c r="F32" s="45" t="inlineStr"/>
      <c r="G32" s="45" t="inlineStr"/>
      <c r="H32" s="45" t="inlineStr"/>
      <c r="I32" s="45" t="inlineStr"/>
      <c r="J32" s="42" t="inlineStr"/>
      <c r="K32" s="46" t="inlineStr"/>
      <c r="L32" s="47" t="inlineStr"/>
      <c r="M32" s="44" t="inlineStr"/>
      <c r="N32" s="44" t="inlineStr"/>
      <c r="O32" s="48" t="inlineStr"/>
      <c r="P32" s="49" t="inlineStr"/>
    </row>
    <row r="33" ht="17" customHeight="1">
      <c r="A33" s="35" t="inlineStr"/>
      <c r="B33" s="36" t="inlineStr"/>
      <c r="C33" s="37" t="inlineStr"/>
      <c r="D33" s="37" t="inlineStr"/>
      <c r="E33" s="37" t="inlineStr"/>
      <c r="F33" s="38" t="inlineStr"/>
      <c r="G33" s="38" t="inlineStr"/>
      <c r="H33" s="38" t="inlineStr"/>
      <c r="I33" s="38" t="inlineStr"/>
      <c r="J33" s="35" t="inlineStr"/>
      <c r="K33" s="39" t="inlineStr"/>
      <c r="L33" s="40" t="inlineStr"/>
      <c r="M33" s="37" t="inlineStr"/>
      <c r="N33" s="37" t="inlineStr"/>
      <c r="O33" s="41" t="inlineStr"/>
      <c r="P33" s="13" t="inlineStr"/>
    </row>
    <row r="34" ht="17" customHeight="1">
      <c r="A34" s="42" t="inlineStr"/>
      <c r="B34" s="43" t="inlineStr"/>
      <c r="C34" s="44" t="inlineStr"/>
      <c r="D34" s="44" t="inlineStr"/>
      <c r="E34" s="44" t="inlineStr"/>
      <c r="F34" s="45" t="inlineStr"/>
      <c r="G34" s="45" t="inlineStr"/>
      <c r="H34" s="45" t="inlineStr"/>
      <c r="I34" s="45" t="inlineStr"/>
      <c r="J34" s="42" t="inlineStr"/>
      <c r="K34" s="46" t="inlineStr"/>
      <c r="L34" s="47" t="inlineStr"/>
      <c r="M34" s="44" t="inlineStr"/>
      <c r="N34" s="44" t="inlineStr"/>
      <c r="O34" s="48" t="inlineStr"/>
      <c r="P34" s="49" t="inlineStr"/>
    </row>
    <row r="35" ht="17" customHeight="1">
      <c r="A35" s="35" t="inlineStr"/>
      <c r="B35" s="36" t="inlineStr"/>
      <c r="C35" s="37" t="inlineStr"/>
      <c r="D35" s="37" t="inlineStr"/>
      <c r="E35" s="37" t="inlineStr"/>
      <c r="F35" s="38" t="inlineStr"/>
      <c r="G35" s="38" t="inlineStr"/>
      <c r="H35" s="38" t="inlineStr"/>
      <c r="I35" s="38" t="inlineStr"/>
      <c r="J35" s="35" t="inlineStr"/>
      <c r="K35" s="39" t="inlineStr"/>
      <c r="L35" s="40" t="inlineStr"/>
      <c r="M35" s="37" t="inlineStr"/>
      <c r="N35" s="37" t="inlineStr"/>
      <c r="O35" s="41" t="inlineStr"/>
      <c r="P35" s="13" t="inlineStr"/>
    </row>
    <row r="36" ht="17" customHeight="1">
      <c r="A36" s="42" t="inlineStr"/>
      <c r="B36" s="43" t="inlineStr"/>
      <c r="C36" s="44" t="inlineStr"/>
      <c r="D36" s="44" t="inlineStr"/>
      <c r="E36" s="44" t="inlineStr"/>
      <c r="F36" s="45" t="inlineStr"/>
      <c r="G36" s="45" t="inlineStr"/>
      <c r="H36" s="45" t="inlineStr"/>
      <c r="I36" s="45" t="inlineStr"/>
      <c r="J36" s="42" t="inlineStr"/>
      <c r="K36" s="46" t="inlineStr"/>
      <c r="L36" s="47" t="inlineStr"/>
      <c r="M36" s="44" t="inlineStr"/>
      <c r="N36" s="44" t="inlineStr"/>
      <c r="O36" s="48" t="inlineStr"/>
      <c r="P36" s="49" t="inlineStr"/>
    </row>
    <row r="37" ht="17" customHeight="1">
      <c r="A37" s="35" t="inlineStr"/>
      <c r="B37" s="36" t="inlineStr"/>
      <c r="C37" s="37" t="inlineStr"/>
      <c r="D37" s="37" t="inlineStr"/>
      <c r="E37" s="37" t="inlineStr"/>
      <c r="F37" s="38" t="inlineStr"/>
      <c r="G37" s="38" t="inlineStr"/>
      <c r="H37" s="38" t="inlineStr"/>
      <c r="I37" s="38" t="inlineStr"/>
      <c r="J37" s="35" t="inlineStr"/>
      <c r="K37" s="39" t="inlineStr"/>
      <c r="L37" s="40" t="inlineStr"/>
      <c r="M37" s="37" t="inlineStr"/>
      <c r="N37" s="37" t="inlineStr"/>
      <c r="O37" s="41" t="inlineStr"/>
      <c r="P37" s="13" t="inlineStr"/>
    </row>
    <row r="38" ht="17" customHeight="1">
      <c r="A38" s="42" t="inlineStr"/>
      <c r="B38" s="43" t="inlineStr"/>
      <c r="C38" s="44" t="inlineStr"/>
      <c r="D38" s="44" t="inlineStr"/>
      <c r="E38" s="44" t="inlineStr"/>
      <c r="F38" s="45" t="inlineStr"/>
      <c r="G38" s="45" t="inlineStr"/>
      <c r="H38" s="45" t="inlineStr"/>
      <c r="I38" s="45" t="inlineStr"/>
      <c r="J38" s="42" t="inlineStr"/>
      <c r="K38" s="46" t="inlineStr"/>
      <c r="L38" s="47" t="inlineStr"/>
      <c r="M38" s="44" t="inlineStr"/>
      <c r="N38" s="44" t="inlineStr"/>
      <c r="O38" s="48" t="inlineStr"/>
      <c r="P38" s="49" t="inlineStr"/>
    </row>
    <row r="39" ht="17" customHeight="1">
      <c r="A39" s="35" t="inlineStr"/>
      <c r="B39" s="36" t="inlineStr"/>
      <c r="C39" s="37" t="inlineStr"/>
      <c r="D39" s="37" t="inlineStr"/>
      <c r="E39" s="37" t="inlineStr"/>
      <c r="F39" s="38" t="inlineStr"/>
      <c r="G39" s="38" t="inlineStr"/>
      <c r="H39" s="38" t="inlineStr"/>
      <c r="I39" s="38" t="inlineStr"/>
      <c r="J39" s="35" t="inlineStr"/>
      <c r="K39" s="39" t="inlineStr"/>
      <c r="L39" s="40" t="inlineStr"/>
      <c r="M39" s="37" t="inlineStr"/>
      <c r="N39" s="37" t="inlineStr"/>
      <c r="O39" s="41" t="inlineStr"/>
      <c r="P39" s="13" t="inlineStr"/>
    </row>
    <row r="40" ht="17" customHeight="1">
      <c r="A40" s="42" t="inlineStr"/>
      <c r="B40" s="43" t="inlineStr"/>
      <c r="C40" s="44" t="inlineStr"/>
      <c r="D40" s="44" t="inlineStr"/>
      <c r="E40" s="44" t="inlineStr"/>
      <c r="F40" s="45" t="inlineStr"/>
      <c r="G40" s="45" t="inlineStr"/>
      <c r="H40" s="45" t="inlineStr"/>
      <c r="I40" s="45" t="inlineStr"/>
      <c r="J40" s="42" t="inlineStr"/>
      <c r="K40" s="46" t="inlineStr"/>
      <c r="L40" s="47" t="inlineStr"/>
      <c r="M40" s="44" t="inlineStr"/>
      <c r="N40" s="44" t="inlineStr"/>
      <c r="O40" s="48" t="inlineStr"/>
      <c r="P40" s="49" t="inlineStr"/>
    </row>
    <row r="41" ht="17" customHeight="1">
      <c r="A41" s="35" t="inlineStr"/>
      <c r="B41" s="36" t="inlineStr"/>
      <c r="C41" s="37" t="inlineStr"/>
      <c r="D41" s="37" t="inlineStr"/>
      <c r="E41" s="37" t="inlineStr"/>
      <c r="F41" s="38" t="inlineStr"/>
      <c r="G41" s="38" t="inlineStr"/>
      <c r="H41" s="38" t="inlineStr"/>
      <c r="I41" s="38" t="inlineStr"/>
      <c r="J41" s="35" t="inlineStr"/>
      <c r="K41" s="39" t="inlineStr"/>
      <c r="L41" s="40" t="inlineStr"/>
      <c r="M41" s="37" t="inlineStr"/>
      <c r="N41" s="37" t="inlineStr"/>
      <c r="O41" s="41" t="inlineStr"/>
      <c r="P41" s="13" t="inlineStr"/>
    </row>
    <row r="42" ht="17" customHeight="1">
      <c r="A42" s="42" t="inlineStr"/>
      <c r="B42" s="43" t="inlineStr"/>
      <c r="C42" s="44" t="inlineStr"/>
      <c r="D42" s="44" t="inlineStr"/>
      <c r="E42" s="44" t="inlineStr"/>
      <c r="F42" s="45" t="inlineStr"/>
      <c r="G42" s="45" t="inlineStr"/>
      <c r="H42" s="45" t="inlineStr"/>
      <c r="I42" s="45" t="inlineStr"/>
      <c r="J42" s="42" t="inlineStr"/>
      <c r="K42" s="46" t="inlineStr"/>
      <c r="L42" s="47" t="inlineStr"/>
      <c r="M42" s="44" t="inlineStr"/>
      <c r="N42" s="44" t="inlineStr"/>
      <c r="O42" s="48" t="inlineStr"/>
      <c r="P42" s="49" t="inlineStr"/>
    </row>
    <row r="43" ht="17" customHeight="1">
      <c r="A43" s="35" t="inlineStr"/>
      <c r="B43" s="36" t="inlineStr"/>
      <c r="C43" s="37" t="inlineStr"/>
      <c r="D43" s="37" t="inlineStr"/>
      <c r="E43" s="37" t="inlineStr"/>
      <c r="F43" s="38" t="inlineStr"/>
      <c r="G43" s="38" t="inlineStr"/>
      <c r="H43" s="38" t="inlineStr"/>
      <c r="I43" s="38" t="inlineStr"/>
      <c r="J43" s="35" t="inlineStr"/>
      <c r="K43" s="39" t="inlineStr"/>
      <c r="L43" s="40" t="inlineStr"/>
      <c r="M43" s="37" t="inlineStr"/>
      <c r="N43" s="37" t="inlineStr"/>
      <c r="O43" s="41" t="inlineStr"/>
      <c r="P43" s="13" t="inlineStr"/>
    </row>
    <row r="44" ht="17" customHeight="1">
      <c r="A44" s="42" t="inlineStr"/>
      <c r="B44" s="43" t="inlineStr"/>
      <c r="C44" s="44" t="inlineStr"/>
      <c r="D44" s="44" t="inlineStr"/>
      <c r="E44" s="44" t="inlineStr"/>
      <c r="F44" s="45" t="inlineStr"/>
      <c r="G44" s="45" t="inlineStr"/>
      <c r="H44" s="45" t="inlineStr"/>
      <c r="I44" s="45" t="inlineStr"/>
      <c r="J44" s="42" t="inlineStr"/>
      <c r="K44" s="46" t="inlineStr"/>
      <c r="L44" s="47" t="inlineStr"/>
      <c r="M44" s="44" t="inlineStr"/>
      <c r="N44" s="44" t="inlineStr"/>
      <c r="O44" s="48" t="inlineStr"/>
      <c r="P44" s="49" t="inlineStr"/>
    </row>
    <row r="45" ht="17" customHeight="1">
      <c r="A45" s="35" t="inlineStr"/>
      <c r="B45" s="36" t="inlineStr"/>
      <c r="C45" s="37" t="inlineStr"/>
      <c r="D45" s="37" t="inlineStr"/>
      <c r="E45" s="37" t="inlineStr"/>
      <c r="F45" s="38" t="inlineStr"/>
      <c r="G45" s="38" t="inlineStr"/>
      <c r="H45" s="38" t="inlineStr"/>
      <c r="I45" s="38" t="inlineStr"/>
      <c r="J45" s="35" t="inlineStr"/>
      <c r="K45" s="39" t="inlineStr"/>
      <c r="L45" s="40" t="inlineStr"/>
      <c r="M45" s="37" t="inlineStr"/>
      <c r="N45" s="37" t="inlineStr"/>
      <c r="O45" s="41" t="inlineStr"/>
      <c r="P45" s="13" t="inlineStr"/>
    </row>
    <row r="46" ht="17" customHeight="1">
      <c r="A46" s="42" t="inlineStr"/>
      <c r="B46" s="43" t="inlineStr"/>
      <c r="C46" s="44" t="inlineStr"/>
      <c r="D46" s="44" t="inlineStr"/>
      <c r="E46" s="44" t="inlineStr"/>
      <c r="F46" s="45" t="inlineStr"/>
      <c r="G46" s="45" t="inlineStr"/>
      <c r="H46" s="45" t="inlineStr"/>
      <c r="I46" s="45" t="inlineStr"/>
      <c r="J46" s="42" t="inlineStr"/>
      <c r="K46" s="46" t="inlineStr"/>
      <c r="L46" s="47" t="inlineStr"/>
      <c r="M46" s="44" t="inlineStr"/>
      <c r="N46" s="44" t="inlineStr"/>
      <c r="O46" s="48" t="inlineStr"/>
      <c r="P46" s="49" t="inlineStr"/>
    </row>
    <row r="47" ht="17" customHeight="1">
      <c r="A47" s="35" t="inlineStr"/>
      <c r="B47" s="36" t="inlineStr"/>
      <c r="C47" s="37" t="inlineStr"/>
      <c r="D47" s="37" t="inlineStr"/>
      <c r="E47" s="37" t="inlineStr"/>
      <c r="F47" s="38" t="inlineStr"/>
      <c r="G47" s="38" t="inlineStr"/>
      <c r="H47" s="38" t="inlineStr"/>
      <c r="I47" s="38" t="inlineStr"/>
      <c r="J47" s="35" t="inlineStr"/>
      <c r="K47" s="39" t="inlineStr"/>
      <c r="L47" s="40" t="inlineStr"/>
      <c r="M47" s="37" t="inlineStr"/>
      <c r="N47" s="37" t="inlineStr"/>
      <c r="O47" s="41" t="inlineStr"/>
      <c r="P47" s="13" t="inlineStr"/>
    </row>
    <row r="48" ht="17" customHeight="1">
      <c r="A48" s="42" t="inlineStr"/>
      <c r="B48" s="43" t="inlineStr"/>
      <c r="C48" s="44" t="inlineStr"/>
      <c r="D48" s="44" t="inlineStr"/>
      <c r="E48" s="44" t="inlineStr"/>
      <c r="F48" s="45" t="inlineStr"/>
      <c r="G48" s="45" t="inlineStr"/>
      <c r="H48" s="45" t="inlineStr"/>
      <c r="I48" s="45" t="inlineStr"/>
      <c r="J48" s="42" t="inlineStr"/>
      <c r="K48" s="46" t="inlineStr"/>
      <c r="L48" s="47" t="inlineStr"/>
      <c r="M48" s="44" t="inlineStr"/>
      <c r="N48" s="44" t="inlineStr"/>
      <c r="O48" s="48" t="inlineStr"/>
      <c r="P48" s="49" t="inlineStr"/>
    </row>
    <row r="49" ht="17" customHeight="1">
      <c r="A49" s="35" t="inlineStr"/>
      <c r="B49" s="36" t="inlineStr"/>
      <c r="C49" s="37" t="inlineStr"/>
      <c r="D49" s="37" t="inlineStr"/>
      <c r="E49" s="37" t="inlineStr"/>
      <c r="F49" s="38" t="inlineStr"/>
      <c r="G49" s="38" t="inlineStr"/>
      <c r="H49" s="38" t="inlineStr"/>
      <c r="I49" s="38" t="inlineStr"/>
      <c r="J49" s="35" t="inlineStr"/>
      <c r="K49" s="39" t="inlineStr"/>
      <c r="L49" s="40" t="inlineStr"/>
      <c r="M49" s="37" t="inlineStr"/>
      <c r="N49" s="37" t="inlineStr"/>
      <c r="O49" s="41" t="inlineStr"/>
      <c r="P49" s="13" t="inlineStr"/>
    </row>
    <row r="50" ht="17" customHeight="1">
      <c r="A50" s="42" t="inlineStr"/>
      <c r="B50" s="43" t="inlineStr"/>
      <c r="C50" s="44" t="inlineStr"/>
      <c r="D50" s="44" t="inlineStr"/>
      <c r="E50" s="44" t="inlineStr"/>
      <c r="F50" s="45" t="inlineStr"/>
      <c r="G50" s="45" t="inlineStr"/>
      <c r="H50" s="45" t="inlineStr"/>
      <c r="I50" s="45" t="inlineStr"/>
      <c r="J50" s="42" t="inlineStr"/>
      <c r="K50" s="46" t="inlineStr"/>
      <c r="L50" s="47" t="inlineStr"/>
      <c r="M50" s="44" t="inlineStr"/>
      <c r="N50" s="44" t="inlineStr"/>
      <c r="O50" s="48" t="inlineStr"/>
      <c r="P50" s="49" t="inlineStr"/>
    </row>
    <row r="51" ht="17" customHeight="1">
      <c r="A51" s="35" t="inlineStr"/>
      <c r="B51" s="36" t="inlineStr"/>
      <c r="C51" s="37" t="inlineStr"/>
      <c r="D51" s="37" t="inlineStr"/>
      <c r="E51" s="37" t="inlineStr"/>
      <c r="F51" s="38" t="inlineStr"/>
      <c r="G51" s="38" t="inlineStr"/>
      <c r="H51" s="38" t="inlineStr"/>
      <c r="I51" s="38" t="inlineStr"/>
      <c r="J51" s="35" t="inlineStr"/>
      <c r="K51" s="39" t="inlineStr"/>
      <c r="L51" s="40" t="inlineStr"/>
      <c r="M51" s="37" t="inlineStr"/>
      <c r="N51" s="37" t="inlineStr"/>
      <c r="O51" s="41" t="inlineStr"/>
      <c r="P51" s="13" t="inlineStr"/>
    </row>
    <row r="52" ht="17" customHeight="1">
      <c r="A52" s="42" t="inlineStr"/>
      <c r="B52" s="43" t="inlineStr"/>
      <c r="C52" s="44" t="inlineStr"/>
      <c r="D52" s="44" t="inlineStr"/>
      <c r="E52" s="44" t="inlineStr"/>
      <c r="F52" s="45" t="inlineStr"/>
      <c r="G52" s="45" t="inlineStr"/>
      <c r="H52" s="45" t="inlineStr"/>
      <c r="I52" s="45" t="inlineStr"/>
      <c r="J52" s="42" t="inlineStr"/>
      <c r="K52" s="46" t="inlineStr"/>
      <c r="L52" s="47" t="inlineStr"/>
      <c r="M52" s="44" t="inlineStr"/>
      <c r="N52" s="44" t="inlineStr"/>
      <c r="O52" s="48" t="inlineStr"/>
      <c r="P52" s="49" t="inlineStr"/>
    </row>
    <row r="53" ht="17" customHeight="1">
      <c r="A53" s="35" t="inlineStr"/>
      <c r="B53" s="36" t="inlineStr"/>
      <c r="C53" s="37" t="inlineStr"/>
      <c r="D53" s="37" t="inlineStr"/>
      <c r="E53" s="37" t="inlineStr"/>
      <c r="F53" s="38" t="inlineStr"/>
      <c r="G53" s="38" t="inlineStr"/>
      <c r="H53" s="38" t="inlineStr"/>
      <c r="I53" s="38" t="inlineStr"/>
      <c r="J53" s="35" t="inlineStr"/>
      <c r="K53" s="39" t="inlineStr"/>
      <c r="L53" s="40" t="inlineStr"/>
      <c r="M53" s="37" t="inlineStr"/>
      <c r="N53" s="37" t="inlineStr"/>
      <c r="O53" s="41" t="inlineStr"/>
      <c r="P53" s="13" t="inlineStr"/>
    </row>
    <row r="54" ht="17" customHeight="1">
      <c r="A54" s="42" t="inlineStr"/>
      <c r="B54" s="43" t="inlineStr"/>
      <c r="C54" s="44" t="inlineStr"/>
      <c r="D54" s="44" t="inlineStr"/>
      <c r="E54" s="44" t="inlineStr"/>
      <c r="F54" s="45" t="inlineStr"/>
      <c r="G54" s="45" t="inlineStr"/>
      <c r="H54" s="45" t="inlineStr"/>
      <c r="I54" s="45" t="inlineStr"/>
      <c r="J54" s="42" t="inlineStr"/>
      <c r="K54" s="46" t="inlineStr"/>
      <c r="L54" s="47" t="inlineStr"/>
      <c r="M54" s="44" t="inlineStr"/>
      <c r="N54" s="44" t="inlineStr"/>
      <c r="O54" s="48" t="inlineStr"/>
      <c r="P54" s="49" t="inlineStr"/>
    </row>
    <row r="55" ht="17" customHeight="1">
      <c r="A55" s="35" t="inlineStr"/>
      <c r="B55" s="36" t="inlineStr"/>
      <c r="C55" s="37" t="inlineStr"/>
      <c r="D55" s="37" t="inlineStr"/>
      <c r="E55" s="37" t="inlineStr"/>
      <c r="F55" s="38" t="inlineStr"/>
      <c r="G55" s="38" t="inlineStr"/>
      <c r="H55" s="38" t="inlineStr"/>
      <c r="I55" s="38" t="inlineStr"/>
      <c r="J55" s="35" t="inlineStr"/>
      <c r="K55" s="39" t="inlineStr"/>
      <c r="L55" s="40" t="inlineStr"/>
      <c r="M55" s="37" t="inlineStr"/>
      <c r="N55" s="37" t="inlineStr"/>
      <c r="O55" s="41" t="inlineStr"/>
      <c r="P55" s="13" t="inlineStr"/>
    </row>
    <row r="56" ht="17" customHeight="1">
      <c r="A56" s="42" t="inlineStr"/>
      <c r="B56" s="43" t="inlineStr"/>
      <c r="C56" s="44" t="inlineStr"/>
      <c r="D56" s="44" t="inlineStr"/>
      <c r="E56" s="44" t="inlineStr"/>
      <c r="F56" s="45" t="inlineStr"/>
      <c r="G56" s="45" t="inlineStr"/>
      <c r="H56" s="45" t="inlineStr"/>
      <c r="I56" s="45" t="inlineStr"/>
      <c r="J56" s="42" t="inlineStr"/>
      <c r="K56" s="46" t="inlineStr"/>
      <c r="L56" s="47" t="inlineStr"/>
      <c r="M56" s="44" t="inlineStr"/>
      <c r="N56" s="44" t="inlineStr"/>
      <c r="O56" s="48" t="inlineStr"/>
      <c r="P56" s="49" t="inlineStr"/>
    </row>
    <row r="57" ht="17" customHeight="1">
      <c r="A57" s="35" t="inlineStr"/>
      <c r="B57" s="36" t="inlineStr"/>
      <c r="C57" s="37" t="inlineStr"/>
      <c r="D57" s="37" t="inlineStr"/>
      <c r="E57" s="37" t="inlineStr"/>
      <c r="F57" s="38" t="inlineStr"/>
      <c r="G57" s="38" t="inlineStr"/>
      <c r="H57" s="38" t="inlineStr"/>
      <c r="I57" s="38" t="inlineStr"/>
      <c r="J57" s="35" t="inlineStr"/>
      <c r="K57" s="39" t="inlineStr"/>
      <c r="L57" s="40" t="inlineStr"/>
      <c r="M57" s="37" t="inlineStr"/>
      <c r="N57" s="37" t="inlineStr"/>
      <c r="O57" s="41" t="inlineStr"/>
      <c r="P57" s="13" t="inlineStr"/>
    </row>
    <row r="58" ht="17" customHeight="1">
      <c r="A58" s="42" t="inlineStr"/>
      <c r="B58" s="43" t="inlineStr"/>
      <c r="C58" s="44" t="inlineStr"/>
      <c r="D58" s="44" t="inlineStr"/>
      <c r="E58" s="44" t="inlineStr"/>
      <c r="F58" s="45" t="inlineStr"/>
      <c r="G58" s="45" t="inlineStr"/>
      <c r="H58" s="45" t="inlineStr"/>
      <c r="I58" s="45" t="inlineStr"/>
      <c r="J58" s="42" t="inlineStr"/>
      <c r="K58" s="46" t="inlineStr"/>
      <c r="L58" s="47" t="inlineStr"/>
      <c r="M58" s="44" t="inlineStr"/>
      <c r="N58" s="44" t="inlineStr"/>
      <c r="O58" s="48" t="inlineStr"/>
      <c r="P58" s="49" t="inlineStr"/>
    </row>
    <row r="59" ht="17" customHeight="1">
      <c r="A59" s="35" t="inlineStr"/>
      <c r="B59" s="36" t="inlineStr"/>
      <c r="C59" s="37" t="inlineStr"/>
      <c r="D59" s="37" t="inlineStr"/>
      <c r="E59" s="37" t="inlineStr"/>
      <c r="F59" s="38" t="inlineStr"/>
      <c r="G59" s="38" t="inlineStr"/>
      <c r="H59" s="38" t="inlineStr"/>
      <c r="I59" s="38" t="inlineStr"/>
      <c r="J59" s="35" t="inlineStr"/>
      <c r="K59" s="39" t="inlineStr"/>
      <c r="L59" s="40" t="inlineStr"/>
      <c r="M59" s="37" t="inlineStr"/>
      <c r="N59" s="37" t="inlineStr"/>
      <c r="O59" s="41" t="inlineStr"/>
      <c r="P59" s="13" t="inlineStr"/>
    </row>
    <row r="60" ht="17" customHeight="1">
      <c r="A60" s="42" t="inlineStr"/>
      <c r="B60" s="43" t="inlineStr"/>
      <c r="C60" s="44" t="inlineStr"/>
      <c r="D60" s="44" t="inlineStr"/>
      <c r="E60" s="44" t="inlineStr"/>
      <c r="F60" s="45" t="inlineStr"/>
      <c r="G60" s="45" t="inlineStr"/>
      <c r="H60" s="45" t="inlineStr"/>
      <c r="I60" s="45" t="inlineStr"/>
      <c r="J60" s="42" t="inlineStr"/>
      <c r="K60" s="46" t="inlineStr"/>
      <c r="L60" s="47" t="inlineStr"/>
      <c r="M60" s="44" t="inlineStr"/>
      <c r="N60" s="44" t="inlineStr"/>
      <c r="O60" s="48" t="inlineStr"/>
      <c r="P60" s="49" t="inlineStr"/>
    </row>
    <row r="61" ht="17" customHeight="1">
      <c r="A61" s="35" t="inlineStr"/>
      <c r="B61" s="36" t="inlineStr"/>
      <c r="C61" s="37" t="inlineStr"/>
      <c r="D61" s="37" t="inlineStr"/>
      <c r="E61" s="37" t="inlineStr"/>
      <c r="F61" s="38" t="inlineStr"/>
      <c r="G61" s="38" t="inlineStr"/>
      <c r="H61" s="38" t="inlineStr"/>
      <c r="I61" s="38" t="inlineStr"/>
      <c r="J61" s="35" t="inlineStr"/>
      <c r="K61" s="39" t="inlineStr"/>
      <c r="L61" s="40" t="inlineStr"/>
      <c r="M61" s="37" t="inlineStr"/>
      <c r="N61" s="37" t="inlineStr"/>
      <c r="O61" s="41" t="inlineStr"/>
      <c r="P61" s="13" t="inlineStr"/>
    </row>
    <row r="62" ht="17" customHeight="1">
      <c r="A62" s="42" t="inlineStr"/>
      <c r="B62" s="43" t="inlineStr"/>
      <c r="C62" s="44" t="inlineStr"/>
      <c r="D62" s="44" t="inlineStr"/>
      <c r="E62" s="44" t="inlineStr"/>
      <c r="F62" s="45" t="inlineStr"/>
      <c r="G62" s="45" t="inlineStr"/>
      <c r="H62" s="45" t="inlineStr"/>
      <c r="I62" s="45" t="inlineStr"/>
      <c r="J62" s="42" t="inlineStr"/>
      <c r="K62" s="46" t="inlineStr"/>
      <c r="L62" s="47" t="inlineStr"/>
      <c r="M62" s="44" t="inlineStr"/>
      <c r="N62" s="44" t="inlineStr"/>
      <c r="O62" s="48" t="inlineStr"/>
      <c r="P62" s="49" t="inlineStr"/>
    </row>
    <row r="63" ht="17" customHeight="1">
      <c r="A63" s="35" t="inlineStr"/>
      <c r="B63" s="36" t="inlineStr"/>
      <c r="C63" s="37" t="inlineStr"/>
      <c r="D63" s="37" t="inlineStr"/>
      <c r="E63" s="37" t="inlineStr"/>
      <c r="F63" s="38" t="inlineStr"/>
      <c r="G63" s="38" t="inlineStr"/>
      <c r="H63" s="38" t="inlineStr"/>
      <c r="I63" s="38" t="inlineStr"/>
      <c r="J63" s="35" t="inlineStr"/>
      <c r="K63" s="39" t="inlineStr"/>
      <c r="L63" s="40" t="inlineStr"/>
      <c r="M63" s="37" t="inlineStr"/>
      <c r="N63" s="37" t="inlineStr"/>
      <c r="O63" s="41" t="inlineStr"/>
      <c r="P63" s="13" t="inlineStr"/>
    </row>
    <row r="64" ht="17" customHeight="1">
      <c r="A64" s="42" t="inlineStr"/>
      <c r="B64" s="43" t="inlineStr"/>
      <c r="C64" s="44" t="inlineStr"/>
      <c r="D64" s="44" t="inlineStr"/>
      <c r="E64" s="44" t="inlineStr"/>
      <c r="F64" s="45" t="inlineStr"/>
      <c r="G64" s="45" t="inlineStr"/>
      <c r="H64" s="45" t="inlineStr"/>
      <c r="I64" s="45" t="inlineStr"/>
      <c r="J64" s="42" t="inlineStr"/>
      <c r="K64" s="46" t="inlineStr"/>
      <c r="L64" s="47" t="inlineStr"/>
      <c r="M64" s="44" t="inlineStr"/>
      <c r="N64" s="44" t="inlineStr"/>
      <c r="O64" s="48" t="inlineStr"/>
      <c r="P64" s="49" t="inlineStr"/>
    </row>
    <row r="65" ht="17" customHeight="1">
      <c r="A65" s="35" t="inlineStr"/>
      <c r="B65" s="36" t="inlineStr"/>
      <c r="C65" s="37" t="inlineStr"/>
      <c r="D65" s="37" t="inlineStr"/>
      <c r="E65" s="37" t="inlineStr"/>
      <c r="F65" s="38" t="inlineStr"/>
      <c r="G65" s="38" t="inlineStr"/>
      <c r="H65" s="38" t="inlineStr"/>
      <c r="I65" s="38" t="inlineStr"/>
      <c r="J65" s="35" t="inlineStr"/>
      <c r="K65" s="39" t="inlineStr"/>
      <c r="L65" s="40" t="inlineStr"/>
      <c r="M65" s="37" t="inlineStr"/>
      <c r="N65" s="37" t="inlineStr"/>
      <c r="O65" s="41" t="inlineStr"/>
      <c r="P65" s="13" t="inlineStr"/>
    </row>
    <row r="66" ht="17" customHeight="1">
      <c r="A66" s="42" t="inlineStr"/>
      <c r="B66" s="43" t="inlineStr"/>
      <c r="C66" s="44" t="inlineStr"/>
      <c r="D66" s="44" t="inlineStr"/>
      <c r="E66" s="44" t="inlineStr"/>
      <c r="F66" s="45" t="inlineStr"/>
      <c r="G66" s="45" t="inlineStr"/>
      <c r="H66" s="45" t="inlineStr"/>
      <c r="I66" s="45" t="inlineStr"/>
      <c r="J66" s="42" t="inlineStr"/>
      <c r="K66" s="46" t="inlineStr"/>
      <c r="L66" s="47" t="inlineStr"/>
      <c r="M66" s="44" t="inlineStr"/>
      <c r="N66" s="44" t="inlineStr"/>
      <c r="O66" s="48" t="inlineStr"/>
      <c r="P66" s="49" t="inlineStr"/>
    </row>
    <row r="67" ht="17" customHeight="1">
      <c r="A67" s="35" t="inlineStr"/>
      <c r="B67" s="36" t="inlineStr"/>
      <c r="C67" s="37" t="inlineStr"/>
      <c r="D67" s="37" t="inlineStr"/>
      <c r="E67" s="37" t="inlineStr"/>
      <c r="F67" s="38" t="inlineStr"/>
      <c r="G67" s="38" t="inlineStr"/>
      <c r="H67" s="38" t="inlineStr"/>
      <c r="I67" s="38" t="inlineStr"/>
      <c r="J67" s="35" t="inlineStr"/>
      <c r="K67" s="39" t="inlineStr"/>
      <c r="L67" s="40" t="inlineStr"/>
      <c r="M67" s="37" t="inlineStr"/>
      <c r="N67" s="37" t="inlineStr"/>
      <c r="O67" s="41" t="inlineStr"/>
      <c r="P67" s="13" t="inlineStr"/>
    </row>
    <row r="68" ht="17" customHeight="1">
      <c r="A68" s="42" t="inlineStr"/>
      <c r="B68" s="43" t="inlineStr"/>
      <c r="C68" s="44" t="inlineStr"/>
      <c r="D68" s="44" t="inlineStr"/>
      <c r="E68" s="44" t="inlineStr"/>
      <c r="F68" s="45" t="inlineStr"/>
      <c r="G68" s="45" t="inlineStr"/>
      <c r="H68" s="45" t="inlineStr"/>
      <c r="I68" s="45" t="inlineStr"/>
      <c r="J68" s="42" t="inlineStr"/>
      <c r="K68" s="46" t="inlineStr"/>
      <c r="L68" s="47" t="inlineStr"/>
      <c r="M68" s="44" t="inlineStr"/>
      <c r="N68" s="44" t="inlineStr"/>
      <c r="O68" s="48" t="inlineStr"/>
      <c r="P68" s="49" t="inlineStr"/>
    </row>
    <row r="69" ht="17" customHeight="1">
      <c r="A69" s="35" t="inlineStr"/>
      <c r="B69" s="36" t="inlineStr"/>
      <c r="C69" s="37" t="inlineStr"/>
      <c r="D69" s="37" t="inlineStr"/>
      <c r="E69" s="37" t="inlineStr"/>
      <c r="F69" s="38" t="inlineStr"/>
      <c r="G69" s="38" t="inlineStr"/>
      <c r="H69" s="38" t="inlineStr"/>
      <c r="I69" s="38" t="inlineStr"/>
      <c r="J69" s="35" t="inlineStr"/>
      <c r="K69" s="39" t="inlineStr"/>
      <c r="L69" s="40" t="inlineStr"/>
      <c r="M69" s="37" t="inlineStr"/>
      <c r="N69" s="37" t="inlineStr"/>
      <c r="O69" s="41" t="inlineStr"/>
      <c r="P69" s="13" t="inlineStr"/>
    </row>
    <row r="70" ht="17" customHeight="1">
      <c r="A70" s="42" t="inlineStr"/>
      <c r="B70" s="43" t="inlineStr"/>
      <c r="C70" s="44" t="inlineStr"/>
      <c r="D70" s="44" t="inlineStr"/>
      <c r="E70" s="44" t="inlineStr"/>
      <c r="F70" s="45" t="inlineStr"/>
      <c r="G70" s="45" t="inlineStr"/>
      <c r="H70" s="45" t="inlineStr"/>
      <c r="I70" s="45" t="inlineStr"/>
      <c r="J70" s="42" t="inlineStr"/>
      <c r="K70" s="46" t="inlineStr"/>
      <c r="L70" s="47" t="inlineStr"/>
      <c r="M70" s="44" t="inlineStr"/>
      <c r="N70" s="44" t="inlineStr"/>
      <c r="O70" s="48" t="inlineStr"/>
      <c r="P70" s="49" t="inlineStr"/>
    </row>
    <row r="71" ht="17" customHeight="1">
      <c r="A71" s="35" t="inlineStr"/>
      <c r="B71" s="36" t="inlineStr"/>
      <c r="C71" s="37" t="inlineStr"/>
      <c r="D71" s="37" t="inlineStr"/>
      <c r="E71" s="37" t="inlineStr"/>
      <c r="F71" s="38" t="inlineStr"/>
      <c r="G71" s="38" t="inlineStr"/>
      <c r="H71" s="38" t="inlineStr"/>
      <c r="I71" s="38" t="inlineStr"/>
      <c r="J71" s="35" t="inlineStr"/>
      <c r="K71" s="39" t="inlineStr"/>
      <c r="L71" s="40" t="inlineStr"/>
      <c r="M71" s="37" t="inlineStr"/>
      <c r="N71" s="37" t="inlineStr"/>
      <c r="O71" s="41" t="inlineStr"/>
      <c r="P71" s="13" t="inlineStr"/>
    </row>
    <row r="72" ht="17" customHeight="1">
      <c r="A72" s="42" t="inlineStr"/>
      <c r="B72" s="43" t="inlineStr"/>
      <c r="C72" s="44" t="inlineStr"/>
      <c r="D72" s="44" t="inlineStr"/>
      <c r="E72" s="44" t="inlineStr"/>
      <c r="F72" s="45" t="inlineStr"/>
      <c r="G72" s="45" t="inlineStr"/>
      <c r="H72" s="45" t="inlineStr"/>
      <c r="I72" s="45" t="inlineStr"/>
      <c r="J72" s="42" t="inlineStr"/>
      <c r="K72" s="46" t="inlineStr"/>
      <c r="L72" s="47" t="inlineStr"/>
      <c r="M72" s="44" t="inlineStr"/>
      <c r="N72" s="44" t="inlineStr"/>
      <c r="O72" s="48" t="inlineStr"/>
      <c r="P72" s="49" t="inlineStr"/>
    </row>
    <row r="73" ht="17" customHeight="1">
      <c r="A73" s="35" t="inlineStr"/>
      <c r="B73" s="36" t="inlineStr"/>
      <c r="C73" s="37" t="inlineStr"/>
      <c r="D73" s="37" t="inlineStr"/>
      <c r="E73" s="37" t="inlineStr"/>
      <c r="F73" s="38" t="inlineStr"/>
      <c r="G73" s="38" t="inlineStr"/>
      <c r="H73" s="38" t="inlineStr"/>
      <c r="I73" s="38" t="inlineStr"/>
      <c r="J73" s="35" t="inlineStr"/>
      <c r="K73" s="39" t="inlineStr"/>
      <c r="L73" s="40" t="inlineStr"/>
      <c r="M73" s="37" t="inlineStr"/>
      <c r="N73" s="37" t="inlineStr"/>
      <c r="O73" s="41" t="inlineStr"/>
      <c r="P73" s="13" t="inlineStr"/>
    </row>
    <row r="74" ht="17" customHeight="1">
      <c r="A74" s="42" t="inlineStr"/>
      <c r="B74" s="43" t="inlineStr"/>
      <c r="C74" s="44" t="inlineStr"/>
      <c r="D74" s="44" t="inlineStr"/>
      <c r="E74" s="44" t="inlineStr"/>
      <c r="F74" s="45" t="inlineStr"/>
      <c r="G74" s="45" t="inlineStr"/>
      <c r="H74" s="45" t="inlineStr"/>
      <c r="I74" s="45" t="inlineStr"/>
      <c r="J74" s="42" t="inlineStr"/>
      <c r="K74" s="46" t="inlineStr"/>
      <c r="L74" s="47" t="inlineStr"/>
      <c r="M74" s="44" t="inlineStr"/>
      <c r="N74" s="44" t="inlineStr"/>
      <c r="O74" s="48" t="inlineStr"/>
      <c r="P74" s="49" t="inlineStr"/>
    </row>
    <row r="75" ht="17" customHeight="1">
      <c r="A75" s="35" t="inlineStr"/>
      <c r="B75" s="36" t="inlineStr"/>
      <c r="C75" s="37" t="inlineStr"/>
      <c r="D75" s="37" t="inlineStr"/>
      <c r="E75" s="37" t="inlineStr"/>
      <c r="F75" s="38" t="inlineStr"/>
      <c r="G75" s="38" t="inlineStr"/>
      <c r="H75" s="38" t="inlineStr"/>
      <c r="I75" s="38" t="inlineStr"/>
      <c r="J75" s="35" t="inlineStr"/>
      <c r="K75" s="39" t="inlineStr"/>
      <c r="L75" s="40" t="inlineStr"/>
      <c r="M75" s="37" t="inlineStr"/>
      <c r="N75" s="37" t="inlineStr"/>
      <c r="O75" s="41" t="inlineStr"/>
      <c r="P75" s="13" t="inlineStr"/>
    </row>
    <row r="76" ht="17" customHeight="1">
      <c r="A76" s="42" t="inlineStr"/>
      <c r="B76" s="43" t="inlineStr"/>
      <c r="C76" s="44" t="inlineStr"/>
      <c r="D76" s="44" t="inlineStr"/>
      <c r="E76" s="44" t="inlineStr"/>
      <c r="F76" s="45" t="inlineStr"/>
      <c r="G76" s="45" t="inlineStr"/>
      <c r="H76" s="45" t="inlineStr"/>
      <c r="I76" s="45" t="inlineStr"/>
      <c r="J76" s="42" t="inlineStr"/>
      <c r="K76" s="46" t="inlineStr"/>
      <c r="L76" s="47" t="inlineStr"/>
      <c r="M76" s="44" t="inlineStr"/>
      <c r="N76" s="44" t="inlineStr"/>
      <c r="O76" s="48" t="inlineStr"/>
      <c r="P76" s="49" t="inlineStr"/>
    </row>
    <row r="77" ht="17" customHeight="1">
      <c r="A77" s="35" t="inlineStr"/>
      <c r="B77" s="36" t="inlineStr"/>
      <c r="C77" s="37" t="inlineStr"/>
      <c r="D77" s="37" t="inlineStr"/>
      <c r="E77" s="37" t="inlineStr"/>
      <c r="F77" s="38" t="inlineStr"/>
      <c r="G77" s="38" t="inlineStr"/>
      <c r="H77" s="38" t="inlineStr"/>
      <c r="I77" s="38" t="inlineStr"/>
      <c r="J77" s="35" t="inlineStr"/>
      <c r="K77" s="39" t="inlineStr"/>
      <c r="L77" s="40" t="inlineStr"/>
      <c r="M77" s="37" t="inlineStr"/>
      <c r="N77" s="37" t="inlineStr"/>
      <c r="O77" s="41" t="inlineStr"/>
      <c r="P77" s="13" t="inlineStr"/>
    </row>
    <row r="78" ht="17" customHeight="1">
      <c r="A78" s="42" t="inlineStr"/>
      <c r="B78" s="43" t="inlineStr"/>
      <c r="C78" s="44" t="inlineStr"/>
      <c r="D78" s="44" t="inlineStr"/>
      <c r="E78" s="44" t="inlineStr"/>
      <c r="F78" s="45" t="inlineStr"/>
      <c r="G78" s="45" t="inlineStr"/>
      <c r="H78" s="45" t="inlineStr"/>
      <c r="I78" s="45" t="inlineStr"/>
      <c r="J78" s="42" t="inlineStr"/>
      <c r="K78" s="46" t="inlineStr"/>
      <c r="L78" s="47" t="inlineStr"/>
      <c r="M78" s="44" t="inlineStr"/>
      <c r="N78" s="44" t="inlineStr"/>
      <c r="O78" s="48" t="inlineStr"/>
      <c r="P78" s="49" t="inlineStr"/>
    </row>
    <row r="79" ht="17" customHeight="1">
      <c r="A79" s="35" t="inlineStr"/>
      <c r="B79" s="36" t="inlineStr"/>
      <c r="C79" s="37" t="inlineStr"/>
      <c r="D79" s="37" t="inlineStr"/>
      <c r="E79" s="37" t="inlineStr"/>
      <c r="F79" s="38" t="inlineStr"/>
      <c r="G79" s="38" t="inlineStr"/>
      <c r="H79" s="38" t="inlineStr"/>
      <c r="I79" s="38" t="inlineStr"/>
      <c r="J79" s="35" t="inlineStr"/>
      <c r="K79" s="39" t="inlineStr"/>
      <c r="L79" s="40" t="inlineStr"/>
      <c r="M79" s="37" t="inlineStr"/>
      <c r="N79" s="37" t="inlineStr"/>
      <c r="O79" s="41" t="inlineStr"/>
      <c r="P79" s="13" t="inlineStr"/>
    </row>
    <row r="80" ht="17" customHeight="1">
      <c r="A80" s="42" t="inlineStr"/>
      <c r="B80" s="43" t="inlineStr"/>
      <c r="C80" s="44" t="inlineStr"/>
      <c r="D80" s="44" t="inlineStr"/>
      <c r="E80" s="44" t="inlineStr"/>
      <c r="F80" s="45" t="inlineStr"/>
      <c r="G80" s="45" t="inlineStr"/>
      <c r="H80" s="45" t="inlineStr"/>
      <c r="I80" s="45" t="inlineStr"/>
      <c r="J80" s="42" t="inlineStr"/>
      <c r="K80" s="46" t="inlineStr"/>
      <c r="L80" s="47" t="inlineStr"/>
      <c r="M80" s="44" t="inlineStr"/>
      <c r="N80" s="44" t="inlineStr"/>
      <c r="O80" s="48" t="inlineStr"/>
      <c r="P80" s="49" t="inlineStr"/>
    </row>
    <row r="81" ht="17" customHeight="1">
      <c r="A81" s="35" t="inlineStr"/>
      <c r="B81" s="36" t="inlineStr"/>
      <c r="C81" s="37" t="inlineStr"/>
      <c r="D81" s="37" t="inlineStr"/>
      <c r="E81" s="37" t="inlineStr"/>
      <c r="F81" s="38" t="inlineStr"/>
      <c r="G81" s="38" t="inlineStr"/>
      <c r="H81" s="38" t="inlineStr"/>
      <c r="I81" s="38" t="inlineStr"/>
      <c r="J81" s="35" t="inlineStr"/>
      <c r="K81" s="39" t="inlineStr"/>
      <c r="L81" s="40" t="inlineStr"/>
      <c r="M81" s="37" t="inlineStr"/>
      <c r="N81" s="37" t="inlineStr"/>
      <c r="O81" s="41" t="inlineStr"/>
      <c r="P81" s="13" t="inlineStr"/>
    </row>
    <row r="82" ht="17" customHeight="1">
      <c r="A82" s="42" t="inlineStr"/>
      <c r="B82" s="43" t="inlineStr"/>
      <c r="C82" s="44" t="inlineStr"/>
      <c r="D82" s="44" t="inlineStr"/>
      <c r="E82" s="44" t="inlineStr"/>
      <c r="F82" s="45" t="inlineStr"/>
      <c r="G82" s="45" t="inlineStr"/>
      <c r="H82" s="45" t="inlineStr"/>
      <c r="I82" s="45" t="inlineStr"/>
      <c r="J82" s="42" t="inlineStr"/>
      <c r="K82" s="46" t="inlineStr"/>
      <c r="L82" s="47" t="inlineStr"/>
      <c r="M82" s="44" t="inlineStr"/>
      <c r="N82" s="44" t="inlineStr"/>
      <c r="O82" s="48" t="inlineStr"/>
      <c r="P82" s="49" t="inlineStr"/>
    </row>
    <row r="83" ht="17" customHeight="1">
      <c r="A83" s="35" t="inlineStr"/>
      <c r="B83" s="36" t="inlineStr"/>
      <c r="C83" s="37" t="inlineStr"/>
      <c r="D83" s="37" t="inlineStr"/>
      <c r="E83" s="37" t="inlineStr"/>
      <c r="F83" s="38" t="inlineStr"/>
      <c r="G83" s="38" t="inlineStr"/>
      <c r="H83" s="38" t="inlineStr"/>
      <c r="I83" s="38" t="inlineStr"/>
      <c r="J83" s="35" t="inlineStr"/>
      <c r="K83" s="39" t="inlineStr"/>
      <c r="L83" s="40" t="inlineStr"/>
      <c r="M83" s="37" t="inlineStr"/>
      <c r="N83" s="37" t="inlineStr"/>
      <c r="O83" s="41" t="inlineStr"/>
      <c r="P83" s="13" t="inlineStr"/>
    </row>
    <row r="84" ht="17" customHeight="1">
      <c r="A84" s="42" t="inlineStr"/>
      <c r="B84" s="43" t="inlineStr"/>
      <c r="C84" s="44" t="inlineStr"/>
      <c r="D84" s="44" t="inlineStr"/>
      <c r="E84" s="44" t="inlineStr"/>
      <c r="F84" s="45" t="inlineStr"/>
      <c r="G84" s="45" t="inlineStr"/>
      <c r="H84" s="45" t="inlineStr"/>
      <c r="I84" s="45" t="inlineStr"/>
      <c r="J84" s="42" t="inlineStr"/>
      <c r="K84" s="46" t="inlineStr"/>
      <c r="L84" s="47" t="inlineStr"/>
      <c r="M84" s="44" t="inlineStr"/>
      <c r="N84" s="44" t="inlineStr"/>
      <c r="O84" s="48" t="inlineStr"/>
      <c r="P84" s="49" t="inlineStr"/>
    </row>
    <row r="85" ht="17" customHeight="1">
      <c r="A85" s="35" t="inlineStr"/>
      <c r="B85" s="36" t="inlineStr"/>
      <c r="C85" s="37" t="inlineStr"/>
      <c r="D85" s="37" t="inlineStr"/>
      <c r="E85" s="37" t="inlineStr"/>
      <c r="F85" s="38" t="inlineStr"/>
      <c r="G85" s="38" t="inlineStr"/>
      <c r="H85" s="38" t="inlineStr"/>
      <c r="I85" s="38" t="inlineStr"/>
      <c r="J85" s="35" t="inlineStr"/>
      <c r="K85" s="39" t="inlineStr"/>
      <c r="L85" s="40" t="inlineStr"/>
      <c r="M85" s="37" t="inlineStr"/>
      <c r="N85" s="37" t="inlineStr"/>
      <c r="O85" s="41" t="inlineStr"/>
      <c r="P85" s="13" t="inlineStr"/>
    </row>
    <row r="86" ht="17" customHeight="1">
      <c r="A86" s="42" t="inlineStr"/>
      <c r="B86" s="43" t="inlineStr"/>
      <c r="C86" s="44" t="inlineStr"/>
      <c r="D86" s="44" t="inlineStr"/>
      <c r="E86" s="44" t="inlineStr"/>
      <c r="F86" s="45" t="inlineStr"/>
      <c r="G86" s="45" t="inlineStr"/>
      <c r="H86" s="45" t="inlineStr"/>
      <c r="I86" s="45" t="inlineStr"/>
      <c r="J86" s="42" t="inlineStr"/>
      <c r="K86" s="46" t="inlineStr"/>
      <c r="L86" s="47" t="inlineStr"/>
      <c r="M86" s="44" t="inlineStr"/>
      <c r="N86" s="44" t="inlineStr"/>
      <c r="O86" s="48" t="inlineStr"/>
      <c r="P86" s="49" t="inlineStr"/>
    </row>
    <row r="87" ht="17" customHeight="1">
      <c r="A87" s="35" t="inlineStr"/>
      <c r="B87" s="36" t="inlineStr"/>
      <c r="C87" s="37" t="inlineStr"/>
      <c r="D87" s="37" t="inlineStr"/>
      <c r="E87" s="37" t="inlineStr"/>
      <c r="F87" s="38" t="inlineStr"/>
      <c r="G87" s="38" t="inlineStr"/>
      <c r="H87" s="38" t="inlineStr"/>
      <c r="I87" s="38" t="inlineStr"/>
      <c r="J87" s="35" t="inlineStr"/>
      <c r="K87" s="39" t="inlineStr"/>
      <c r="L87" s="40" t="inlineStr"/>
      <c r="M87" s="37" t="inlineStr"/>
      <c r="N87" s="37" t="inlineStr"/>
      <c r="O87" s="41" t="inlineStr"/>
      <c r="P87" s="13" t="inlineStr"/>
    </row>
    <row r="88" ht="17" customHeight="1">
      <c r="A88" s="42" t="inlineStr"/>
      <c r="B88" s="43" t="inlineStr"/>
      <c r="C88" s="44" t="inlineStr"/>
      <c r="D88" s="44" t="inlineStr"/>
      <c r="E88" s="44" t="inlineStr"/>
      <c r="F88" s="45" t="inlineStr"/>
      <c r="G88" s="45" t="inlineStr"/>
      <c r="H88" s="45" t="inlineStr"/>
      <c r="I88" s="45" t="inlineStr"/>
      <c r="J88" s="42" t="inlineStr"/>
      <c r="K88" s="46" t="inlineStr"/>
      <c r="L88" s="47" t="inlineStr"/>
      <c r="M88" s="44" t="inlineStr"/>
      <c r="N88" s="44" t="inlineStr"/>
      <c r="O88" s="48" t="inlineStr"/>
      <c r="P88" s="49" t="inlineStr"/>
    </row>
    <row r="89" ht="17" customHeight="1">
      <c r="A89" s="35" t="inlineStr"/>
      <c r="B89" s="36" t="inlineStr"/>
      <c r="C89" s="37" t="inlineStr"/>
      <c r="D89" s="37" t="inlineStr"/>
      <c r="E89" s="37" t="inlineStr"/>
      <c r="F89" s="38" t="inlineStr"/>
      <c r="G89" s="38" t="inlineStr"/>
      <c r="H89" s="38" t="inlineStr"/>
      <c r="I89" s="38" t="inlineStr"/>
      <c r="J89" s="35" t="inlineStr"/>
      <c r="K89" s="39" t="inlineStr"/>
      <c r="L89" s="40" t="inlineStr"/>
      <c r="M89" s="37" t="inlineStr"/>
      <c r="N89" s="37" t="inlineStr"/>
      <c r="O89" s="41" t="inlineStr"/>
      <c r="P89" s="13" t="inlineStr"/>
    </row>
    <row r="90" ht="17" customHeight="1">
      <c r="A90" s="42" t="inlineStr"/>
      <c r="B90" s="43" t="inlineStr"/>
      <c r="C90" s="44" t="inlineStr"/>
      <c r="D90" s="44" t="inlineStr"/>
      <c r="E90" s="44" t="inlineStr"/>
      <c r="F90" s="45" t="inlineStr"/>
      <c r="G90" s="45" t="inlineStr"/>
      <c r="H90" s="45" t="inlineStr"/>
      <c r="I90" s="45" t="inlineStr"/>
      <c r="J90" s="42" t="inlineStr"/>
      <c r="K90" s="46" t="inlineStr"/>
      <c r="L90" s="47" t="inlineStr"/>
      <c r="M90" s="44" t="inlineStr"/>
      <c r="N90" s="44" t="inlineStr"/>
      <c r="O90" s="48" t="inlineStr"/>
      <c r="P90" s="49" t="inlineStr"/>
    </row>
    <row r="91" ht="17" customHeight="1">
      <c r="A91" s="35" t="inlineStr"/>
      <c r="B91" s="36" t="inlineStr"/>
      <c r="C91" s="37" t="inlineStr"/>
      <c r="D91" s="37" t="inlineStr"/>
      <c r="E91" s="37" t="inlineStr"/>
      <c r="F91" s="38" t="inlineStr"/>
      <c r="G91" s="38" t="inlineStr"/>
      <c r="H91" s="38" t="inlineStr"/>
      <c r="I91" s="38" t="inlineStr"/>
      <c r="J91" s="35" t="inlineStr"/>
      <c r="K91" s="39" t="inlineStr"/>
      <c r="L91" s="40" t="inlineStr"/>
      <c r="M91" s="37" t="inlineStr"/>
      <c r="N91" s="37" t="inlineStr"/>
      <c r="O91" s="41" t="inlineStr"/>
      <c r="P91" s="13" t="inlineStr"/>
    </row>
    <row r="92" ht="17" customHeight="1">
      <c r="A92" s="42" t="inlineStr"/>
      <c r="B92" s="43" t="inlineStr"/>
      <c r="C92" s="44" t="inlineStr"/>
      <c r="D92" s="44" t="inlineStr"/>
      <c r="E92" s="44" t="inlineStr"/>
      <c r="F92" s="45" t="inlineStr"/>
      <c r="G92" s="45" t="inlineStr"/>
      <c r="H92" s="45" t="inlineStr"/>
      <c r="I92" s="45" t="inlineStr"/>
      <c r="J92" s="42" t="inlineStr"/>
      <c r="K92" s="46" t="inlineStr"/>
      <c r="L92" s="47" t="inlineStr"/>
      <c r="M92" s="44" t="inlineStr"/>
      <c r="N92" s="44" t="inlineStr"/>
      <c r="O92" s="48" t="inlineStr"/>
      <c r="P92" s="49" t="inlineStr"/>
    </row>
    <row r="93" ht="17" customHeight="1">
      <c r="A93" s="35" t="inlineStr"/>
      <c r="B93" s="36" t="inlineStr"/>
      <c r="C93" s="37" t="inlineStr"/>
      <c r="D93" s="37" t="inlineStr"/>
      <c r="E93" s="37" t="inlineStr"/>
      <c r="F93" s="38" t="inlineStr"/>
      <c r="G93" s="38" t="inlineStr"/>
      <c r="H93" s="38" t="inlineStr"/>
      <c r="I93" s="38" t="inlineStr"/>
      <c r="J93" s="35" t="inlineStr"/>
      <c r="K93" s="39" t="inlineStr"/>
      <c r="L93" s="40" t="inlineStr"/>
      <c r="M93" s="37" t="inlineStr"/>
      <c r="N93" s="37" t="inlineStr"/>
      <c r="O93" s="41" t="inlineStr"/>
      <c r="P93" s="13" t="inlineStr"/>
    </row>
    <row r="94" ht="17" customHeight="1">
      <c r="A94" s="42" t="inlineStr"/>
      <c r="B94" s="43" t="inlineStr"/>
      <c r="C94" s="44" t="inlineStr"/>
      <c r="D94" s="44" t="inlineStr"/>
      <c r="E94" s="44" t="inlineStr"/>
      <c r="F94" s="45" t="inlineStr"/>
      <c r="G94" s="45" t="inlineStr"/>
      <c r="H94" s="45" t="inlineStr"/>
      <c r="I94" s="45" t="inlineStr"/>
      <c r="J94" s="42" t="inlineStr"/>
      <c r="K94" s="46" t="inlineStr"/>
      <c r="L94" s="47" t="inlineStr"/>
      <c r="M94" s="44" t="inlineStr"/>
      <c r="N94" s="44" t="inlineStr"/>
      <c r="O94" s="48" t="inlineStr"/>
      <c r="P94" s="49" t="inlineStr"/>
    </row>
    <row r="95" ht="17" customHeight="1">
      <c r="A95" s="35" t="inlineStr"/>
      <c r="B95" s="36" t="inlineStr"/>
      <c r="C95" s="37" t="inlineStr"/>
      <c r="D95" s="37" t="inlineStr"/>
      <c r="E95" s="37" t="inlineStr"/>
      <c r="F95" s="38" t="inlineStr"/>
      <c r="G95" s="38" t="inlineStr"/>
      <c r="H95" s="38" t="inlineStr"/>
      <c r="I95" s="38" t="inlineStr"/>
      <c r="J95" s="35" t="inlineStr"/>
      <c r="K95" s="39" t="inlineStr"/>
      <c r="L95" s="40" t="inlineStr"/>
      <c r="M95" s="37" t="inlineStr"/>
      <c r="N95" s="37" t="inlineStr"/>
      <c r="O95" s="41" t="inlineStr"/>
      <c r="P95" s="13" t="inlineStr"/>
    </row>
    <row r="96" ht="17" customHeight="1">
      <c r="A96" s="42" t="inlineStr"/>
      <c r="B96" s="43" t="inlineStr"/>
      <c r="C96" s="44" t="inlineStr"/>
      <c r="D96" s="44" t="inlineStr"/>
      <c r="E96" s="44" t="inlineStr"/>
      <c r="F96" s="45" t="inlineStr"/>
      <c r="G96" s="45" t="inlineStr"/>
      <c r="H96" s="45" t="inlineStr"/>
      <c r="I96" s="45" t="inlineStr"/>
      <c r="J96" s="42" t="inlineStr"/>
      <c r="K96" s="46" t="inlineStr"/>
      <c r="L96" s="47" t="inlineStr"/>
      <c r="M96" s="44" t="inlineStr"/>
      <c r="N96" s="44" t="inlineStr"/>
      <c r="O96" s="48" t="inlineStr"/>
      <c r="P96" s="49" t="inlineStr"/>
    </row>
    <row r="97" ht="17" customHeight="1">
      <c r="A97" s="35" t="inlineStr"/>
      <c r="B97" s="36" t="inlineStr"/>
      <c r="C97" s="37" t="inlineStr"/>
      <c r="D97" s="37" t="inlineStr"/>
      <c r="E97" s="37" t="inlineStr"/>
      <c r="F97" s="38" t="inlineStr"/>
      <c r="G97" s="38" t="inlineStr"/>
      <c r="H97" s="38" t="inlineStr"/>
      <c r="I97" s="38" t="inlineStr"/>
      <c r="J97" s="35" t="inlineStr"/>
      <c r="K97" s="39" t="inlineStr"/>
      <c r="L97" s="40" t="inlineStr"/>
      <c r="M97" s="37" t="inlineStr"/>
      <c r="N97" s="37" t="inlineStr"/>
      <c r="O97" s="41" t="inlineStr"/>
      <c r="P97" s="13" t="inlineStr"/>
    </row>
    <row r="98" ht="17" customHeight="1">
      <c r="A98" s="42" t="inlineStr"/>
      <c r="B98" s="43" t="inlineStr"/>
      <c r="C98" s="44" t="inlineStr"/>
      <c r="D98" s="44" t="inlineStr"/>
      <c r="E98" s="44" t="inlineStr"/>
      <c r="F98" s="45" t="inlineStr"/>
      <c r="G98" s="45" t="inlineStr"/>
      <c r="H98" s="45" t="inlineStr"/>
      <c r="I98" s="45" t="inlineStr"/>
      <c r="J98" s="42" t="inlineStr"/>
      <c r="K98" s="46" t="inlineStr"/>
      <c r="L98" s="47" t="inlineStr"/>
      <c r="M98" s="44" t="inlineStr"/>
      <c r="N98" s="44" t="inlineStr"/>
      <c r="O98" s="48" t="inlineStr"/>
      <c r="P98" s="49" t="inlineStr"/>
    </row>
    <row r="99" ht="17" customHeight="1">
      <c r="A99" s="35" t="inlineStr"/>
      <c r="B99" s="36" t="inlineStr"/>
      <c r="C99" s="37" t="inlineStr"/>
      <c r="D99" s="37" t="inlineStr"/>
      <c r="E99" s="37" t="inlineStr"/>
      <c r="F99" s="38" t="inlineStr"/>
      <c r="G99" s="38" t="inlineStr"/>
      <c r="H99" s="38" t="inlineStr"/>
      <c r="I99" s="38" t="inlineStr"/>
      <c r="J99" s="35" t="inlineStr"/>
      <c r="K99" s="39" t="inlineStr"/>
      <c r="L99" s="40" t="inlineStr"/>
      <c r="M99" s="37" t="inlineStr"/>
      <c r="N99" s="37" t="inlineStr"/>
      <c r="O99" s="41" t="inlineStr"/>
      <c r="P99" s="13" t="inlineStr"/>
    </row>
    <row r="100" ht="17" customHeight="1">
      <c r="A100" s="42" t="inlineStr"/>
      <c r="B100" s="43" t="inlineStr"/>
      <c r="C100" s="44" t="inlineStr"/>
      <c r="D100" s="44" t="inlineStr"/>
      <c r="E100" s="44" t="inlineStr"/>
      <c r="F100" s="45" t="inlineStr"/>
      <c r="G100" s="45" t="inlineStr"/>
      <c r="H100" s="45" t="inlineStr"/>
      <c r="I100" s="45" t="inlineStr"/>
      <c r="J100" s="42" t="inlineStr"/>
      <c r="K100" s="46" t="inlineStr"/>
      <c r="L100" s="47" t="inlineStr"/>
      <c r="M100" s="44" t="inlineStr"/>
      <c r="N100" s="44" t="inlineStr"/>
      <c r="O100" s="48" t="inlineStr"/>
      <c r="P100" s="49" t="inlineStr"/>
    </row>
    <row r="101" ht="17" customHeight="1">
      <c r="A101" s="35" t="inlineStr"/>
      <c r="B101" s="36" t="inlineStr"/>
      <c r="C101" s="37" t="inlineStr"/>
      <c r="D101" s="37" t="inlineStr"/>
      <c r="E101" s="37" t="inlineStr"/>
      <c r="F101" s="38" t="inlineStr"/>
      <c r="G101" s="38" t="inlineStr"/>
      <c r="H101" s="38" t="inlineStr"/>
      <c r="I101" s="38" t="inlineStr"/>
      <c r="J101" s="35" t="inlineStr"/>
      <c r="K101" s="39" t="inlineStr"/>
      <c r="L101" s="40" t="inlineStr"/>
      <c r="M101" s="37" t="inlineStr"/>
      <c r="N101" s="37" t="inlineStr"/>
      <c r="O101" s="41" t="inlineStr"/>
      <c r="P101" s="13" t="inlineStr"/>
    </row>
    <row r="102" ht="17" customHeight="1">
      <c r="A102" s="42" t="inlineStr"/>
      <c r="B102" s="43" t="inlineStr"/>
      <c r="C102" s="44" t="inlineStr"/>
      <c r="D102" s="44" t="inlineStr"/>
      <c r="E102" s="44" t="inlineStr"/>
      <c r="F102" s="45" t="inlineStr"/>
      <c r="G102" s="45" t="inlineStr"/>
      <c r="H102" s="45" t="inlineStr"/>
      <c r="I102" s="45" t="inlineStr"/>
      <c r="J102" s="42" t="inlineStr"/>
      <c r="K102" s="46" t="inlineStr"/>
      <c r="L102" s="47" t="inlineStr"/>
      <c r="M102" s="44" t="inlineStr"/>
      <c r="N102" s="44" t="inlineStr"/>
      <c r="O102" s="48" t="inlineStr"/>
      <c r="P102" s="49" t="inlineStr"/>
    </row>
    <row r="103" ht="17" customHeight="1">
      <c r="A103" s="35" t="inlineStr"/>
      <c r="B103" s="36" t="inlineStr"/>
      <c r="C103" s="37" t="inlineStr"/>
      <c r="D103" s="37" t="inlineStr"/>
      <c r="E103" s="37" t="inlineStr"/>
      <c r="F103" s="38" t="inlineStr"/>
      <c r="G103" s="38" t="inlineStr"/>
      <c r="H103" s="38" t="inlineStr"/>
      <c r="I103" s="38" t="inlineStr"/>
      <c r="J103" s="35" t="inlineStr"/>
      <c r="K103" s="39" t="inlineStr"/>
      <c r="L103" s="40" t="inlineStr"/>
      <c r="M103" s="37" t="inlineStr"/>
      <c r="N103" s="37" t="inlineStr"/>
      <c r="O103" s="41" t="inlineStr"/>
      <c r="P103" s="13" t="inlineStr"/>
    </row>
    <row r="104" ht="17" customHeight="1">
      <c r="A104" s="42" t="inlineStr"/>
      <c r="B104" s="43" t="inlineStr"/>
      <c r="C104" s="44" t="inlineStr"/>
      <c r="D104" s="44" t="inlineStr"/>
      <c r="E104" s="44" t="inlineStr"/>
      <c r="F104" s="45" t="inlineStr"/>
      <c r="G104" s="45" t="inlineStr"/>
      <c r="H104" s="45" t="inlineStr"/>
      <c r="I104" s="45" t="inlineStr"/>
      <c r="J104" s="42" t="inlineStr"/>
      <c r="K104" s="46" t="inlineStr"/>
      <c r="L104" s="47" t="inlineStr"/>
      <c r="M104" s="44" t="inlineStr"/>
      <c r="N104" s="44" t="inlineStr"/>
      <c r="O104" s="48" t="inlineStr"/>
      <c r="P104" s="49" t="inlineStr"/>
    </row>
    <row r="105" ht="17" customHeight="1">
      <c r="A105" s="35" t="inlineStr"/>
      <c r="B105" s="36" t="inlineStr"/>
      <c r="C105" s="37" t="inlineStr"/>
      <c r="D105" s="37" t="inlineStr"/>
      <c r="E105" s="37" t="inlineStr"/>
      <c r="F105" s="38" t="inlineStr"/>
      <c r="G105" s="38" t="inlineStr"/>
      <c r="H105" s="38" t="inlineStr"/>
      <c r="I105" s="38" t="inlineStr"/>
      <c r="J105" s="35" t="inlineStr"/>
      <c r="K105" s="39" t="inlineStr"/>
      <c r="L105" s="40" t="inlineStr"/>
      <c r="M105" s="37" t="inlineStr"/>
      <c r="N105" s="37" t="inlineStr"/>
      <c r="O105" s="41" t="inlineStr"/>
      <c r="P105" s="13" t="inlineStr"/>
    </row>
    <row r="106" ht="17" customHeight="1">
      <c r="A106" s="42" t="inlineStr"/>
      <c r="B106" s="43" t="inlineStr"/>
      <c r="C106" s="44" t="inlineStr"/>
      <c r="D106" s="44" t="inlineStr"/>
      <c r="E106" s="44" t="inlineStr"/>
      <c r="F106" s="45" t="inlineStr"/>
      <c r="G106" s="45" t="inlineStr"/>
      <c r="H106" s="45" t="inlineStr"/>
      <c r="I106" s="45" t="inlineStr"/>
      <c r="J106" s="42" t="inlineStr"/>
      <c r="K106" s="46" t="inlineStr"/>
      <c r="L106" s="47" t="inlineStr"/>
      <c r="M106" s="44" t="inlineStr"/>
      <c r="N106" s="44" t="inlineStr"/>
      <c r="O106" s="48" t="inlineStr"/>
      <c r="P106" s="49" t="inlineStr"/>
    </row>
    <row r="107" ht="17" customHeight="1">
      <c r="A107" s="35" t="inlineStr"/>
      <c r="B107" s="36" t="inlineStr"/>
      <c r="C107" s="37" t="inlineStr"/>
      <c r="D107" s="37" t="inlineStr"/>
      <c r="E107" s="37" t="inlineStr"/>
      <c r="F107" s="38" t="inlineStr"/>
      <c r="G107" s="38" t="inlineStr"/>
      <c r="H107" s="38" t="inlineStr"/>
      <c r="I107" s="38" t="inlineStr"/>
      <c r="J107" s="35" t="inlineStr"/>
      <c r="K107" s="39" t="inlineStr"/>
      <c r="L107" s="40" t="inlineStr"/>
      <c r="M107" s="37" t="inlineStr"/>
      <c r="N107" s="37" t="inlineStr"/>
      <c r="O107" s="41" t="inlineStr"/>
      <c r="P107" s="13" t="inlineStr"/>
    </row>
    <row r="108" ht="17" customHeight="1">
      <c r="A108" s="42" t="inlineStr"/>
      <c r="B108" s="43" t="inlineStr"/>
      <c r="C108" s="44" t="inlineStr"/>
      <c r="D108" s="44" t="inlineStr"/>
      <c r="E108" s="44" t="inlineStr"/>
      <c r="F108" s="45" t="inlineStr"/>
      <c r="G108" s="45" t="inlineStr"/>
      <c r="H108" s="45" t="inlineStr"/>
      <c r="I108" s="45" t="inlineStr"/>
      <c r="J108" s="42" t="inlineStr"/>
      <c r="K108" s="46" t="inlineStr"/>
      <c r="L108" s="47" t="inlineStr"/>
      <c r="M108" s="44" t="inlineStr"/>
      <c r="N108" s="44" t="inlineStr"/>
      <c r="O108" s="48" t="inlineStr"/>
      <c r="P108" s="49" t="inlineStr"/>
    </row>
    <row r="109" ht="17" customHeight="1">
      <c r="A109" s="35" t="inlineStr"/>
      <c r="B109" s="36" t="inlineStr"/>
      <c r="C109" s="37" t="inlineStr"/>
      <c r="D109" s="37" t="inlineStr"/>
      <c r="E109" s="37" t="inlineStr"/>
      <c r="F109" s="38" t="inlineStr"/>
      <c r="G109" s="38" t="inlineStr"/>
      <c r="H109" s="38" t="inlineStr"/>
      <c r="I109" s="38" t="inlineStr"/>
      <c r="J109" s="35" t="inlineStr"/>
      <c r="K109" s="39" t="inlineStr"/>
      <c r="L109" s="40" t="inlineStr"/>
      <c r="M109" s="37" t="inlineStr"/>
      <c r="N109" s="37" t="inlineStr"/>
      <c r="O109" s="41" t="inlineStr"/>
      <c r="P109" s="13" t="inlineStr"/>
    </row>
    <row r="110" ht="17" customHeight="1">
      <c r="A110" s="42" t="inlineStr"/>
      <c r="B110" s="43" t="inlineStr"/>
      <c r="C110" s="44" t="inlineStr"/>
      <c r="D110" s="44" t="inlineStr"/>
      <c r="E110" s="44" t="inlineStr"/>
      <c r="F110" s="45" t="inlineStr"/>
      <c r="G110" s="45" t="inlineStr"/>
      <c r="H110" s="45" t="inlineStr"/>
      <c r="I110" s="45" t="inlineStr"/>
      <c r="J110" s="42" t="inlineStr"/>
      <c r="K110" s="46" t="inlineStr"/>
      <c r="L110" s="47" t="inlineStr"/>
      <c r="M110" s="44" t="inlineStr"/>
      <c r="N110" s="44" t="inlineStr"/>
      <c r="O110" s="48" t="inlineStr"/>
      <c r="P110" s="49" t="inlineStr"/>
    </row>
    <row r="111" ht="17" customHeight="1">
      <c r="A111" s="35" t="inlineStr"/>
      <c r="B111" s="36" t="inlineStr"/>
      <c r="C111" s="37" t="inlineStr"/>
      <c r="D111" s="37" t="inlineStr"/>
      <c r="E111" s="37" t="inlineStr"/>
      <c r="F111" s="38" t="inlineStr"/>
      <c r="G111" s="38" t="inlineStr"/>
      <c r="H111" s="38" t="inlineStr"/>
      <c r="I111" s="38" t="inlineStr"/>
      <c r="J111" s="35" t="inlineStr"/>
      <c r="K111" s="39" t="inlineStr"/>
      <c r="L111" s="40" t="inlineStr"/>
      <c r="M111" s="37" t="inlineStr"/>
      <c r="N111" s="37" t="inlineStr"/>
      <c r="O111" s="41" t="inlineStr"/>
      <c r="P111" s="13" t="inlineStr"/>
    </row>
    <row r="112" ht="17" customHeight="1">
      <c r="A112" s="42" t="inlineStr"/>
      <c r="B112" s="43" t="inlineStr"/>
      <c r="C112" s="44" t="inlineStr"/>
      <c r="D112" s="44" t="inlineStr"/>
      <c r="E112" s="44" t="inlineStr"/>
      <c r="F112" s="45" t="inlineStr"/>
      <c r="G112" s="45" t="inlineStr"/>
      <c r="H112" s="45" t="inlineStr"/>
      <c r="I112" s="45" t="inlineStr"/>
      <c r="J112" s="42" t="inlineStr"/>
      <c r="K112" s="46" t="inlineStr"/>
      <c r="L112" s="47" t="inlineStr"/>
      <c r="M112" s="44" t="inlineStr"/>
      <c r="N112" s="44" t="inlineStr"/>
      <c r="O112" s="48" t="inlineStr"/>
      <c r="P112" s="49" t="inlineStr"/>
    </row>
    <row r="113" ht="17" customHeight="1">
      <c r="A113" s="35" t="inlineStr"/>
      <c r="B113" s="36" t="inlineStr"/>
      <c r="C113" s="37" t="inlineStr"/>
      <c r="D113" s="37" t="inlineStr"/>
      <c r="E113" s="37" t="inlineStr"/>
      <c r="F113" s="38" t="inlineStr"/>
      <c r="G113" s="38" t="inlineStr"/>
      <c r="H113" s="38" t="inlineStr"/>
      <c r="I113" s="38" t="inlineStr"/>
      <c r="J113" s="35" t="inlineStr"/>
      <c r="K113" s="39" t="inlineStr"/>
      <c r="L113" s="40" t="inlineStr"/>
      <c r="M113" s="37" t="inlineStr"/>
      <c r="N113" s="37" t="inlineStr"/>
      <c r="O113" s="41" t="inlineStr"/>
      <c r="P113" s="13" t="inlineStr"/>
    </row>
    <row r="114" ht="17" customHeight="1">
      <c r="A114" s="42" t="inlineStr"/>
      <c r="B114" s="43" t="inlineStr"/>
      <c r="C114" s="44" t="inlineStr"/>
      <c r="D114" s="44" t="inlineStr"/>
      <c r="E114" s="44" t="inlineStr"/>
      <c r="F114" s="45" t="inlineStr"/>
      <c r="G114" s="45" t="inlineStr"/>
      <c r="H114" s="45" t="inlineStr"/>
      <c r="I114" s="45" t="inlineStr"/>
      <c r="J114" s="42" t="inlineStr"/>
      <c r="K114" s="46" t="inlineStr"/>
      <c r="L114" s="47" t="inlineStr"/>
      <c r="M114" s="44" t="inlineStr"/>
      <c r="N114" s="44" t="inlineStr"/>
      <c r="O114" s="48" t="inlineStr"/>
      <c r="P114" s="49" t="inlineStr"/>
    </row>
    <row r="115" ht="17" customHeight="1">
      <c r="A115" s="35" t="inlineStr"/>
      <c r="B115" s="36" t="inlineStr"/>
      <c r="C115" s="37" t="inlineStr"/>
      <c r="D115" s="37" t="inlineStr"/>
      <c r="E115" s="37" t="inlineStr"/>
      <c r="F115" s="38" t="inlineStr"/>
      <c r="G115" s="38" t="inlineStr"/>
      <c r="H115" s="38" t="inlineStr"/>
      <c r="I115" s="38" t="inlineStr"/>
      <c r="J115" s="35" t="inlineStr"/>
      <c r="K115" s="39" t="inlineStr"/>
      <c r="L115" s="40" t="inlineStr"/>
      <c r="M115" s="37" t="inlineStr"/>
      <c r="N115" s="37" t="inlineStr"/>
      <c r="O115" s="41" t="inlineStr"/>
      <c r="P115" s="13" t="inlineStr"/>
    </row>
    <row r="116" ht="17" customHeight="1">
      <c r="A116" s="42" t="inlineStr"/>
      <c r="B116" s="43" t="inlineStr"/>
      <c r="C116" s="44" t="inlineStr"/>
      <c r="D116" s="44" t="inlineStr"/>
      <c r="E116" s="44" t="inlineStr"/>
      <c r="F116" s="45" t="inlineStr"/>
      <c r="G116" s="45" t="inlineStr"/>
      <c r="H116" s="45" t="inlineStr"/>
      <c r="I116" s="45" t="inlineStr"/>
      <c r="J116" s="42" t="inlineStr"/>
      <c r="K116" s="46" t="inlineStr"/>
      <c r="L116" s="47" t="inlineStr"/>
      <c r="M116" s="44" t="inlineStr"/>
      <c r="N116" s="44" t="inlineStr"/>
      <c r="O116" s="48" t="inlineStr"/>
      <c r="P116" s="49" t="inlineStr"/>
    </row>
    <row r="117" ht="17" customHeight="1">
      <c r="A117" s="35" t="inlineStr"/>
      <c r="B117" s="36" t="inlineStr"/>
      <c r="C117" s="37" t="inlineStr"/>
      <c r="D117" s="37" t="inlineStr"/>
      <c r="E117" s="37" t="inlineStr"/>
      <c r="F117" s="38" t="inlineStr"/>
      <c r="G117" s="38" t="inlineStr"/>
      <c r="H117" s="38" t="inlineStr"/>
      <c r="I117" s="38" t="inlineStr"/>
      <c r="J117" s="35" t="inlineStr"/>
      <c r="K117" s="39" t="inlineStr"/>
      <c r="L117" s="40" t="inlineStr"/>
      <c r="M117" s="37" t="inlineStr"/>
      <c r="N117" s="37" t="inlineStr"/>
      <c r="O117" s="41" t="inlineStr"/>
      <c r="P117" s="13" t="inlineStr"/>
    </row>
    <row r="118" ht="17" customHeight="1">
      <c r="A118" s="42" t="inlineStr"/>
      <c r="B118" s="43" t="inlineStr"/>
      <c r="C118" s="44" t="inlineStr"/>
      <c r="D118" s="44" t="inlineStr"/>
      <c r="E118" s="44" t="inlineStr"/>
      <c r="F118" s="45" t="inlineStr"/>
      <c r="G118" s="45" t="inlineStr"/>
      <c r="H118" s="45" t="inlineStr"/>
      <c r="I118" s="45" t="inlineStr"/>
      <c r="J118" s="42" t="inlineStr"/>
      <c r="K118" s="46" t="inlineStr"/>
      <c r="L118" s="47" t="inlineStr"/>
      <c r="M118" s="44" t="inlineStr"/>
      <c r="N118" s="44" t="inlineStr"/>
      <c r="O118" s="48" t="inlineStr"/>
      <c r="P118" s="49" t="inlineStr"/>
    </row>
    <row r="119" ht="17" customHeight="1">
      <c r="A119" s="35" t="inlineStr"/>
      <c r="B119" s="36" t="inlineStr"/>
      <c r="C119" s="37" t="inlineStr"/>
      <c r="D119" s="37" t="inlineStr"/>
      <c r="E119" s="37" t="inlineStr"/>
      <c r="F119" s="38" t="inlineStr"/>
      <c r="G119" s="38" t="inlineStr"/>
      <c r="H119" s="38" t="inlineStr"/>
      <c r="I119" s="38" t="inlineStr"/>
      <c r="J119" s="35" t="inlineStr"/>
      <c r="K119" s="39" t="inlineStr"/>
      <c r="L119" s="40" t="inlineStr"/>
      <c r="M119" s="37" t="inlineStr"/>
      <c r="N119" s="37" t="inlineStr"/>
      <c r="O119" s="41" t="inlineStr"/>
      <c r="P119" s="13" t="inlineStr"/>
    </row>
    <row r="120" ht="17" customHeight="1">
      <c r="A120" s="42" t="inlineStr"/>
      <c r="B120" s="43" t="inlineStr"/>
      <c r="C120" s="44" t="inlineStr"/>
      <c r="D120" s="44" t="inlineStr"/>
      <c r="E120" s="44" t="inlineStr"/>
      <c r="F120" s="45" t="inlineStr"/>
      <c r="G120" s="45" t="inlineStr"/>
      <c r="H120" s="45" t="inlineStr"/>
      <c r="I120" s="45" t="inlineStr"/>
      <c r="J120" s="42" t="inlineStr"/>
      <c r="K120" s="46" t="inlineStr"/>
      <c r="L120" s="47" t="inlineStr"/>
      <c r="M120" s="44" t="inlineStr"/>
      <c r="N120" s="44" t="inlineStr"/>
      <c r="O120" s="48" t="inlineStr"/>
      <c r="P120" s="49" t="inlineStr"/>
    </row>
    <row r="121" ht="17" customHeight="1">
      <c r="A121" s="35" t="inlineStr"/>
      <c r="B121" s="36" t="inlineStr"/>
      <c r="C121" s="37" t="inlineStr"/>
      <c r="D121" s="37" t="inlineStr"/>
      <c r="E121" s="37" t="inlineStr"/>
      <c r="F121" s="38" t="inlineStr"/>
      <c r="G121" s="38" t="inlineStr"/>
      <c r="H121" s="38" t="inlineStr"/>
      <c r="I121" s="38" t="inlineStr"/>
      <c r="J121" s="35" t="inlineStr"/>
      <c r="K121" s="39" t="inlineStr"/>
      <c r="L121" s="40" t="inlineStr"/>
      <c r="M121" s="37" t="inlineStr"/>
      <c r="N121" s="37" t="inlineStr"/>
      <c r="O121" s="41" t="inlineStr"/>
      <c r="P121" s="13" t="inlineStr"/>
    </row>
    <row r="122" ht="17" customHeight="1">
      <c r="A122" s="42" t="inlineStr"/>
      <c r="B122" s="43" t="inlineStr"/>
      <c r="C122" s="44" t="inlineStr"/>
      <c r="D122" s="44" t="inlineStr"/>
      <c r="E122" s="44" t="inlineStr"/>
      <c r="F122" s="45" t="inlineStr"/>
      <c r="G122" s="45" t="inlineStr"/>
      <c r="H122" s="45" t="inlineStr"/>
      <c r="I122" s="45" t="inlineStr"/>
      <c r="J122" s="42" t="inlineStr"/>
      <c r="K122" s="46" t="inlineStr"/>
      <c r="L122" s="47" t="inlineStr"/>
      <c r="M122" s="44" t="inlineStr"/>
      <c r="N122" s="44" t="inlineStr"/>
      <c r="O122" s="48" t="inlineStr"/>
      <c r="P122" s="49" t="inlineStr"/>
    </row>
    <row r="123" ht="17" customHeight="1">
      <c r="A123" s="35" t="inlineStr"/>
      <c r="B123" s="36" t="inlineStr"/>
      <c r="C123" s="37" t="inlineStr"/>
      <c r="D123" s="37" t="inlineStr"/>
      <c r="E123" s="37" t="inlineStr"/>
      <c r="F123" s="38" t="inlineStr"/>
      <c r="G123" s="38" t="inlineStr"/>
      <c r="H123" s="38" t="inlineStr"/>
      <c r="I123" s="38" t="inlineStr"/>
      <c r="J123" s="35" t="inlineStr"/>
      <c r="K123" s="39" t="inlineStr"/>
      <c r="L123" s="40" t="inlineStr"/>
      <c r="M123" s="37" t="inlineStr"/>
      <c r="N123" s="37" t="inlineStr"/>
      <c r="O123" s="41" t="inlineStr"/>
      <c r="P123" s="13" t="inlineStr"/>
    </row>
    <row r="124" ht="17" customHeight="1">
      <c r="A124" s="42" t="inlineStr"/>
      <c r="B124" s="43" t="inlineStr"/>
      <c r="C124" s="44" t="inlineStr"/>
      <c r="D124" s="44" t="inlineStr"/>
      <c r="E124" s="44" t="inlineStr"/>
      <c r="F124" s="45" t="inlineStr"/>
      <c r="G124" s="45" t="inlineStr"/>
      <c r="H124" s="45" t="inlineStr"/>
      <c r="I124" s="45" t="inlineStr"/>
      <c r="J124" s="42" t="inlineStr"/>
      <c r="K124" s="46" t="inlineStr"/>
      <c r="L124" s="47" t="inlineStr"/>
      <c r="M124" s="44" t="inlineStr"/>
      <c r="N124" s="44" t="inlineStr"/>
      <c r="O124" s="48" t="inlineStr"/>
      <c r="P124" s="49" t="inlineStr"/>
    </row>
    <row r="125" ht="17" customHeight="1">
      <c r="A125" s="35" t="inlineStr"/>
      <c r="B125" s="36" t="inlineStr"/>
      <c r="C125" s="37" t="inlineStr"/>
      <c r="D125" s="37" t="inlineStr"/>
      <c r="E125" s="37" t="inlineStr"/>
      <c r="F125" s="38" t="inlineStr"/>
      <c r="G125" s="38" t="inlineStr"/>
      <c r="H125" s="38" t="inlineStr"/>
      <c r="I125" s="38" t="inlineStr"/>
      <c r="J125" s="35" t="inlineStr"/>
      <c r="K125" s="39" t="inlineStr"/>
      <c r="L125" s="40" t="inlineStr"/>
      <c r="M125" s="37" t="inlineStr"/>
      <c r="N125" s="37" t="inlineStr"/>
      <c r="O125" s="41" t="inlineStr"/>
      <c r="P125" s="13" t="inlineStr"/>
    </row>
    <row r="126" ht="17" customHeight="1">
      <c r="A126" s="42" t="inlineStr"/>
      <c r="B126" s="43" t="inlineStr"/>
      <c r="C126" s="44" t="inlineStr"/>
      <c r="D126" s="44" t="inlineStr"/>
      <c r="E126" s="44" t="inlineStr"/>
      <c r="F126" s="45" t="inlineStr"/>
      <c r="G126" s="45" t="inlineStr"/>
      <c r="H126" s="45" t="inlineStr"/>
      <c r="I126" s="45" t="inlineStr"/>
      <c r="J126" s="42" t="inlineStr"/>
      <c r="K126" s="46" t="inlineStr"/>
      <c r="L126" s="47" t="inlineStr"/>
      <c r="M126" s="44" t="inlineStr"/>
      <c r="N126" s="44" t="inlineStr"/>
      <c r="O126" s="48" t="inlineStr"/>
      <c r="P126" s="49" t="inlineStr"/>
    </row>
    <row r="127" ht="17" customHeight="1">
      <c r="A127" s="35" t="inlineStr"/>
      <c r="B127" s="36" t="inlineStr"/>
      <c r="C127" s="37" t="inlineStr"/>
      <c r="D127" s="37" t="inlineStr"/>
      <c r="E127" s="37" t="inlineStr"/>
      <c r="F127" s="38" t="inlineStr"/>
      <c r="G127" s="38" t="inlineStr"/>
      <c r="H127" s="38" t="inlineStr"/>
      <c r="I127" s="38" t="inlineStr"/>
      <c r="J127" s="35" t="inlineStr"/>
      <c r="K127" s="39" t="inlineStr"/>
      <c r="L127" s="40" t="inlineStr"/>
      <c r="M127" s="37" t="inlineStr"/>
      <c r="N127" s="37" t="inlineStr"/>
      <c r="O127" s="41" t="inlineStr"/>
      <c r="P127" s="13" t="inlineStr"/>
    </row>
    <row r="128" ht="17" customHeight="1">
      <c r="A128" s="42" t="inlineStr"/>
      <c r="B128" s="43" t="inlineStr"/>
      <c r="C128" s="44" t="inlineStr"/>
      <c r="D128" s="44" t="inlineStr"/>
      <c r="E128" s="44" t="inlineStr"/>
      <c r="F128" s="45" t="inlineStr"/>
      <c r="G128" s="45" t="inlineStr"/>
      <c r="H128" s="45" t="inlineStr"/>
      <c r="I128" s="45" t="inlineStr"/>
      <c r="J128" s="42" t="inlineStr"/>
      <c r="K128" s="46" t="inlineStr"/>
      <c r="L128" s="47" t="inlineStr"/>
      <c r="M128" s="44" t="inlineStr"/>
      <c r="N128" s="44" t="inlineStr"/>
      <c r="O128" s="48" t="inlineStr"/>
      <c r="P128" s="49" t="inlineStr"/>
    </row>
    <row r="129" ht="17" customHeight="1">
      <c r="A129" s="35" t="inlineStr"/>
      <c r="B129" s="36" t="inlineStr"/>
      <c r="C129" s="37" t="inlineStr"/>
      <c r="D129" s="37" t="inlineStr"/>
      <c r="E129" s="37" t="inlineStr"/>
      <c r="F129" s="38" t="inlineStr"/>
      <c r="G129" s="38" t="inlineStr"/>
      <c r="H129" s="38" t="inlineStr"/>
      <c r="I129" s="38" t="inlineStr"/>
      <c r="J129" s="35" t="inlineStr"/>
      <c r="K129" s="39" t="inlineStr"/>
      <c r="L129" s="40" t="inlineStr"/>
      <c r="M129" s="37" t="inlineStr"/>
      <c r="N129" s="37" t="inlineStr"/>
      <c r="O129" s="41" t="inlineStr"/>
      <c r="P129" s="13" t="inlineStr"/>
    </row>
    <row r="130" ht="17" customHeight="1">
      <c r="A130" s="42" t="inlineStr"/>
      <c r="B130" s="43" t="inlineStr"/>
      <c r="C130" s="44" t="inlineStr"/>
      <c r="D130" s="44" t="inlineStr"/>
      <c r="E130" s="44" t="inlineStr"/>
      <c r="F130" s="45" t="inlineStr"/>
      <c r="G130" s="45" t="inlineStr"/>
      <c r="H130" s="45" t="inlineStr"/>
      <c r="I130" s="45" t="inlineStr"/>
      <c r="J130" s="42" t="inlineStr"/>
      <c r="K130" s="46" t="inlineStr"/>
      <c r="L130" s="47" t="inlineStr"/>
      <c r="M130" s="44" t="inlineStr"/>
      <c r="N130" s="44" t="inlineStr"/>
      <c r="O130" s="48" t="inlineStr"/>
      <c r="P130" s="49" t="inlineStr"/>
    </row>
    <row r="131" ht="17" customHeight="1">
      <c r="A131" s="35" t="inlineStr"/>
      <c r="B131" s="36" t="inlineStr"/>
      <c r="C131" s="37" t="inlineStr"/>
      <c r="D131" s="37" t="inlineStr"/>
      <c r="E131" s="37" t="inlineStr"/>
      <c r="F131" s="38" t="inlineStr"/>
      <c r="G131" s="38" t="inlineStr"/>
      <c r="H131" s="38" t="inlineStr"/>
      <c r="I131" s="38" t="inlineStr"/>
      <c r="J131" s="35" t="inlineStr"/>
      <c r="K131" s="39" t="inlineStr"/>
      <c r="L131" s="40" t="inlineStr"/>
      <c r="M131" s="37" t="inlineStr"/>
      <c r="N131" s="37" t="inlineStr"/>
      <c r="O131" s="41" t="inlineStr"/>
      <c r="P131" s="13" t="inlineStr"/>
    </row>
    <row r="132" ht="17" customHeight="1">
      <c r="A132" s="42" t="inlineStr"/>
      <c r="B132" s="43" t="inlineStr"/>
      <c r="C132" s="44" t="inlineStr"/>
      <c r="D132" s="44" t="inlineStr"/>
      <c r="E132" s="44" t="inlineStr"/>
      <c r="F132" s="45" t="inlineStr"/>
      <c r="G132" s="45" t="inlineStr"/>
      <c r="H132" s="45" t="inlineStr"/>
      <c r="I132" s="45" t="inlineStr"/>
      <c r="J132" s="42" t="inlineStr"/>
      <c r="K132" s="46" t="inlineStr"/>
      <c r="L132" s="47" t="inlineStr"/>
      <c r="M132" s="44" t="inlineStr"/>
      <c r="N132" s="44" t="inlineStr"/>
      <c r="O132" s="48" t="inlineStr"/>
      <c r="P132" s="49" t="inlineStr"/>
    </row>
    <row r="133" ht="17" customHeight="1">
      <c r="A133" s="35" t="inlineStr"/>
      <c r="B133" s="36" t="inlineStr"/>
      <c r="C133" s="37" t="inlineStr"/>
      <c r="D133" s="37" t="inlineStr"/>
      <c r="E133" s="37" t="inlineStr"/>
      <c r="F133" s="38" t="inlineStr"/>
      <c r="G133" s="38" t="inlineStr"/>
      <c r="H133" s="38" t="inlineStr"/>
      <c r="I133" s="38" t="inlineStr"/>
      <c r="J133" s="35" t="inlineStr"/>
      <c r="K133" s="39" t="inlineStr"/>
      <c r="L133" s="40" t="inlineStr"/>
      <c r="M133" s="37" t="inlineStr"/>
      <c r="N133" s="37" t="inlineStr"/>
      <c r="O133" s="41" t="inlineStr"/>
      <c r="P133" s="13" t="inlineStr"/>
    </row>
    <row r="134" ht="17" customHeight="1">
      <c r="A134" s="42" t="inlineStr"/>
      <c r="B134" s="43" t="inlineStr"/>
      <c r="C134" s="44" t="inlineStr"/>
      <c r="D134" s="44" t="inlineStr"/>
      <c r="E134" s="44" t="inlineStr"/>
      <c r="F134" s="45" t="inlineStr"/>
      <c r="G134" s="45" t="inlineStr"/>
      <c r="H134" s="45" t="inlineStr"/>
      <c r="I134" s="45" t="inlineStr"/>
      <c r="J134" s="42" t="inlineStr"/>
      <c r="K134" s="46" t="inlineStr"/>
      <c r="L134" s="47" t="inlineStr"/>
      <c r="M134" s="44" t="inlineStr"/>
      <c r="N134" s="44" t="inlineStr"/>
      <c r="O134" s="48" t="inlineStr"/>
      <c r="P134" s="49" t="inlineStr"/>
    </row>
    <row r="135" ht="17" customHeight="1">
      <c r="A135" s="35" t="inlineStr"/>
      <c r="B135" s="36" t="inlineStr"/>
      <c r="C135" s="37" t="inlineStr"/>
      <c r="D135" s="37" t="inlineStr"/>
      <c r="E135" s="37" t="inlineStr"/>
      <c r="F135" s="38" t="inlineStr"/>
      <c r="G135" s="38" t="inlineStr"/>
      <c r="H135" s="38" t="inlineStr"/>
      <c r="I135" s="38" t="inlineStr"/>
      <c r="J135" s="35" t="inlineStr"/>
      <c r="K135" s="39" t="inlineStr"/>
      <c r="L135" s="40" t="inlineStr"/>
      <c r="M135" s="37" t="inlineStr"/>
      <c r="N135" s="37" t="inlineStr"/>
      <c r="O135" s="41" t="inlineStr"/>
      <c r="P135" s="13" t="inlineStr"/>
    </row>
    <row r="136" ht="17" customHeight="1">
      <c r="A136" s="42" t="inlineStr"/>
      <c r="B136" s="43" t="inlineStr"/>
      <c r="C136" s="44" t="inlineStr"/>
      <c r="D136" s="44" t="inlineStr"/>
      <c r="E136" s="44" t="inlineStr"/>
      <c r="F136" s="45" t="inlineStr"/>
      <c r="G136" s="45" t="inlineStr"/>
      <c r="H136" s="45" t="inlineStr"/>
      <c r="I136" s="45" t="inlineStr"/>
      <c r="J136" s="42" t="inlineStr"/>
      <c r="K136" s="46" t="inlineStr"/>
      <c r="L136" s="47" t="inlineStr"/>
      <c r="M136" s="44" t="inlineStr"/>
      <c r="N136" s="44" t="inlineStr"/>
      <c r="O136" s="48" t="inlineStr"/>
      <c r="P136" s="49" t="inlineStr"/>
    </row>
    <row r="137" ht="17" customHeight="1">
      <c r="A137" s="35" t="inlineStr"/>
      <c r="B137" s="36" t="inlineStr"/>
      <c r="C137" s="37" t="inlineStr"/>
      <c r="D137" s="37" t="inlineStr"/>
      <c r="E137" s="37" t="inlineStr"/>
      <c r="F137" s="38" t="inlineStr"/>
      <c r="G137" s="38" t="inlineStr"/>
      <c r="H137" s="38" t="inlineStr"/>
      <c r="I137" s="38" t="inlineStr"/>
      <c r="J137" s="35" t="inlineStr"/>
      <c r="K137" s="39" t="inlineStr"/>
      <c r="L137" s="40" t="inlineStr"/>
      <c r="M137" s="37" t="inlineStr"/>
      <c r="N137" s="37" t="inlineStr"/>
      <c r="O137" s="41" t="inlineStr"/>
      <c r="P137" s="13" t="inlineStr"/>
    </row>
    <row r="138" ht="17" customHeight="1">
      <c r="A138" s="42" t="inlineStr"/>
      <c r="B138" s="43" t="inlineStr"/>
      <c r="C138" s="44" t="inlineStr"/>
      <c r="D138" s="44" t="inlineStr"/>
      <c r="E138" s="44" t="inlineStr"/>
      <c r="F138" s="45" t="inlineStr"/>
      <c r="G138" s="45" t="inlineStr"/>
      <c r="H138" s="45" t="inlineStr"/>
      <c r="I138" s="45" t="inlineStr"/>
      <c r="J138" s="42" t="inlineStr"/>
      <c r="K138" s="46" t="inlineStr"/>
      <c r="L138" s="47" t="inlineStr"/>
      <c r="M138" s="44" t="inlineStr"/>
      <c r="N138" s="44" t="inlineStr"/>
      <c r="O138" s="48" t="inlineStr"/>
      <c r="P138" s="49" t="inlineStr"/>
    </row>
    <row r="139" ht="17" customHeight="1">
      <c r="A139" s="35" t="inlineStr"/>
      <c r="B139" s="36" t="inlineStr"/>
      <c r="C139" s="37" t="inlineStr"/>
      <c r="D139" s="37" t="inlineStr"/>
      <c r="E139" s="37" t="inlineStr"/>
      <c r="F139" s="38" t="inlineStr"/>
      <c r="G139" s="38" t="inlineStr"/>
      <c r="H139" s="38" t="inlineStr"/>
      <c r="I139" s="38" t="inlineStr"/>
      <c r="J139" s="35" t="inlineStr"/>
      <c r="K139" s="39" t="inlineStr"/>
      <c r="L139" s="40" t="inlineStr"/>
      <c r="M139" s="37" t="inlineStr"/>
      <c r="N139" s="37" t="inlineStr"/>
      <c r="O139" s="41" t="inlineStr"/>
      <c r="P139" s="13" t="inlineStr"/>
    </row>
    <row r="140" ht="17" customHeight="1">
      <c r="A140" s="42" t="inlineStr"/>
      <c r="B140" s="43" t="inlineStr"/>
      <c r="C140" s="44" t="inlineStr"/>
      <c r="D140" s="44" t="inlineStr"/>
      <c r="E140" s="44" t="inlineStr"/>
      <c r="F140" s="45" t="inlineStr"/>
      <c r="G140" s="45" t="inlineStr"/>
      <c r="H140" s="45" t="inlineStr"/>
      <c r="I140" s="45" t="inlineStr"/>
      <c r="J140" s="42" t="inlineStr"/>
      <c r="K140" s="46" t="inlineStr"/>
      <c r="L140" s="47" t="inlineStr"/>
      <c r="M140" s="44" t="inlineStr"/>
      <c r="N140" s="44" t="inlineStr"/>
      <c r="O140" s="48" t="inlineStr"/>
      <c r="P140" s="49" t="inlineStr"/>
    </row>
    <row r="141" ht="17" customHeight="1">
      <c r="A141" s="35" t="inlineStr"/>
      <c r="B141" s="36" t="inlineStr"/>
      <c r="C141" s="37" t="inlineStr"/>
      <c r="D141" s="37" t="inlineStr"/>
      <c r="E141" s="37" t="inlineStr"/>
      <c r="F141" s="38" t="inlineStr"/>
      <c r="G141" s="38" t="inlineStr"/>
      <c r="H141" s="38" t="inlineStr"/>
      <c r="I141" s="38" t="inlineStr"/>
      <c r="J141" s="35" t="inlineStr"/>
      <c r="K141" s="39" t="inlineStr"/>
      <c r="L141" s="40" t="inlineStr"/>
      <c r="M141" s="37" t="inlineStr"/>
      <c r="N141" s="37" t="inlineStr"/>
      <c r="O141" s="41" t="inlineStr"/>
      <c r="P141" s="13" t="inlineStr"/>
    </row>
    <row r="142" ht="17" customHeight="1">
      <c r="A142" s="42" t="inlineStr"/>
      <c r="B142" s="43" t="inlineStr"/>
      <c r="C142" s="44" t="inlineStr"/>
      <c r="D142" s="44" t="inlineStr"/>
      <c r="E142" s="44" t="inlineStr"/>
      <c r="F142" s="45" t="inlineStr"/>
      <c r="G142" s="45" t="inlineStr"/>
      <c r="H142" s="45" t="inlineStr"/>
      <c r="I142" s="45" t="inlineStr"/>
      <c r="J142" s="42" t="inlineStr"/>
      <c r="K142" s="46" t="inlineStr"/>
      <c r="L142" s="47" t="inlineStr"/>
      <c r="M142" s="44" t="inlineStr"/>
      <c r="N142" s="44" t="inlineStr"/>
      <c r="O142" s="48" t="inlineStr"/>
      <c r="P142" s="49" t="inlineStr"/>
    </row>
    <row r="143" ht="17" customHeight="1">
      <c r="A143" s="35" t="inlineStr"/>
      <c r="B143" s="36" t="inlineStr"/>
      <c r="C143" s="37" t="inlineStr"/>
      <c r="D143" s="37" t="inlineStr"/>
      <c r="E143" s="37" t="inlineStr"/>
      <c r="F143" s="38" t="inlineStr"/>
      <c r="G143" s="38" t="inlineStr"/>
      <c r="H143" s="38" t="inlineStr"/>
      <c r="I143" s="38" t="inlineStr"/>
      <c r="J143" s="35" t="inlineStr"/>
      <c r="K143" s="39" t="inlineStr"/>
      <c r="L143" s="40" t="inlineStr"/>
      <c r="M143" s="37" t="inlineStr"/>
      <c r="N143" s="37" t="inlineStr"/>
      <c r="O143" s="41" t="inlineStr"/>
      <c r="P143" s="13" t="inlineStr"/>
    </row>
    <row r="144" ht="17" customHeight="1">
      <c r="A144" s="42" t="inlineStr"/>
      <c r="B144" s="43" t="inlineStr"/>
      <c r="C144" s="44" t="inlineStr"/>
      <c r="D144" s="44" t="inlineStr"/>
      <c r="E144" s="44" t="inlineStr"/>
      <c r="F144" s="45" t="inlineStr"/>
      <c r="G144" s="45" t="inlineStr"/>
      <c r="H144" s="45" t="inlineStr"/>
      <c r="I144" s="45" t="inlineStr"/>
      <c r="J144" s="42" t="inlineStr"/>
      <c r="K144" s="46" t="inlineStr"/>
      <c r="L144" s="47" t="inlineStr"/>
      <c r="M144" s="44" t="inlineStr"/>
      <c r="N144" s="44" t="inlineStr"/>
      <c r="O144" s="48" t="inlineStr"/>
      <c r="P144" s="49" t="inlineStr"/>
    </row>
    <row r="145" ht="17" customHeight="1">
      <c r="A145" s="35" t="inlineStr"/>
      <c r="B145" s="36" t="inlineStr"/>
      <c r="C145" s="37" t="inlineStr"/>
      <c r="D145" s="37" t="inlineStr"/>
      <c r="E145" s="37" t="inlineStr"/>
      <c r="F145" s="38" t="inlineStr"/>
      <c r="G145" s="38" t="inlineStr"/>
      <c r="H145" s="38" t="inlineStr"/>
      <c r="I145" s="38" t="inlineStr"/>
      <c r="J145" s="35" t="inlineStr"/>
      <c r="K145" s="39" t="inlineStr"/>
      <c r="L145" s="40" t="inlineStr"/>
      <c r="M145" s="37" t="inlineStr"/>
      <c r="N145" s="37" t="inlineStr"/>
      <c r="O145" s="41" t="inlineStr"/>
      <c r="P145" s="13" t="inlineStr"/>
    </row>
    <row r="146" ht="17" customHeight="1">
      <c r="A146" s="42" t="inlineStr"/>
      <c r="B146" s="43" t="inlineStr"/>
      <c r="C146" s="44" t="inlineStr"/>
      <c r="D146" s="44" t="inlineStr"/>
      <c r="E146" s="44" t="inlineStr"/>
      <c r="F146" s="45" t="inlineStr"/>
      <c r="G146" s="45" t="inlineStr"/>
      <c r="H146" s="45" t="inlineStr"/>
      <c r="I146" s="45" t="inlineStr"/>
      <c r="J146" s="42" t="inlineStr"/>
      <c r="K146" s="46" t="inlineStr"/>
      <c r="L146" s="47" t="inlineStr"/>
      <c r="M146" s="44" t="inlineStr"/>
      <c r="N146" s="44" t="inlineStr"/>
      <c r="O146" s="48" t="inlineStr"/>
      <c r="P146" s="49" t="inlineStr"/>
    </row>
    <row r="147" ht="17" customHeight="1">
      <c r="A147" s="35" t="inlineStr"/>
      <c r="B147" s="36" t="inlineStr"/>
      <c r="C147" s="37" t="inlineStr"/>
      <c r="D147" s="37" t="inlineStr"/>
      <c r="E147" s="37" t="inlineStr"/>
      <c r="F147" s="38" t="inlineStr"/>
      <c r="G147" s="38" t="inlineStr"/>
      <c r="H147" s="38" t="inlineStr"/>
      <c r="I147" s="38" t="inlineStr"/>
      <c r="J147" s="35" t="inlineStr"/>
      <c r="K147" s="39" t="inlineStr"/>
      <c r="L147" s="40" t="inlineStr"/>
      <c r="M147" s="37" t="inlineStr"/>
      <c r="N147" s="37" t="inlineStr"/>
      <c r="O147" s="41" t="inlineStr"/>
      <c r="P147" s="13" t="inlineStr"/>
    </row>
    <row r="148" ht="17" customHeight="1">
      <c r="A148" s="42" t="inlineStr"/>
      <c r="B148" s="43" t="inlineStr"/>
      <c r="C148" s="44" t="inlineStr"/>
      <c r="D148" s="44" t="inlineStr"/>
      <c r="E148" s="44" t="inlineStr"/>
      <c r="F148" s="45" t="inlineStr"/>
      <c r="G148" s="45" t="inlineStr"/>
      <c r="H148" s="45" t="inlineStr"/>
      <c r="I148" s="45" t="inlineStr"/>
      <c r="J148" s="42" t="inlineStr"/>
      <c r="K148" s="46" t="inlineStr"/>
      <c r="L148" s="47" t="inlineStr"/>
      <c r="M148" s="44" t="inlineStr"/>
      <c r="N148" s="44" t="inlineStr"/>
      <c r="O148" s="48" t="inlineStr"/>
      <c r="P148" s="49" t="inlineStr"/>
    </row>
    <row r="149" ht="17" customHeight="1">
      <c r="A149" s="35" t="inlineStr"/>
      <c r="B149" s="36" t="inlineStr"/>
      <c r="C149" s="37" t="inlineStr"/>
      <c r="D149" s="37" t="inlineStr"/>
      <c r="E149" s="37" t="inlineStr"/>
      <c r="F149" s="38" t="inlineStr"/>
      <c r="G149" s="38" t="inlineStr"/>
      <c r="H149" s="38" t="inlineStr"/>
      <c r="I149" s="38" t="inlineStr"/>
      <c r="J149" s="35" t="inlineStr"/>
      <c r="K149" s="39" t="inlineStr"/>
      <c r="L149" s="40" t="inlineStr"/>
      <c r="M149" s="37" t="inlineStr"/>
      <c r="N149" s="37" t="inlineStr"/>
      <c r="O149" s="41" t="inlineStr"/>
      <c r="P149" s="13" t="inlineStr"/>
    </row>
    <row r="150" ht="17" customHeight="1">
      <c r="A150" s="42" t="inlineStr"/>
      <c r="B150" s="43" t="inlineStr"/>
      <c r="C150" s="44" t="inlineStr"/>
      <c r="D150" s="44" t="inlineStr"/>
      <c r="E150" s="44" t="inlineStr"/>
      <c r="F150" s="45" t="inlineStr"/>
      <c r="G150" s="45" t="inlineStr"/>
      <c r="H150" s="45" t="inlineStr"/>
      <c r="I150" s="45" t="inlineStr"/>
      <c r="J150" s="42" t="inlineStr"/>
      <c r="K150" s="46" t="inlineStr"/>
      <c r="L150" s="47" t="inlineStr"/>
      <c r="M150" s="44" t="inlineStr"/>
      <c r="N150" s="44" t="inlineStr"/>
      <c r="O150" s="48" t="inlineStr"/>
      <c r="P150" s="49" t="inlineStr"/>
    </row>
    <row r="151" ht="17" customHeight="1">
      <c r="A151" s="35" t="inlineStr"/>
      <c r="B151" s="36" t="inlineStr"/>
      <c r="C151" s="37" t="inlineStr"/>
      <c r="D151" s="37" t="inlineStr"/>
      <c r="E151" s="37" t="inlineStr"/>
      <c r="F151" s="38" t="inlineStr"/>
      <c r="G151" s="38" t="inlineStr"/>
      <c r="H151" s="38" t="inlineStr"/>
      <c r="I151" s="38" t="inlineStr"/>
      <c r="J151" s="35" t="inlineStr"/>
      <c r="K151" s="39" t="inlineStr"/>
      <c r="L151" s="40" t="inlineStr"/>
      <c r="M151" s="37" t="inlineStr"/>
      <c r="N151" s="37" t="inlineStr"/>
      <c r="O151" s="41" t="inlineStr"/>
      <c r="P151" s="13" t="inlineStr"/>
    </row>
    <row r="152" ht="17" customHeight="1">
      <c r="A152" s="42" t="inlineStr"/>
      <c r="B152" s="43" t="inlineStr"/>
      <c r="C152" s="44" t="inlineStr"/>
      <c r="D152" s="44" t="inlineStr"/>
      <c r="E152" s="44" t="inlineStr"/>
      <c r="F152" s="45" t="inlineStr"/>
      <c r="G152" s="45" t="inlineStr"/>
      <c r="H152" s="45" t="inlineStr"/>
      <c r="I152" s="45" t="inlineStr"/>
      <c r="J152" s="42" t="inlineStr"/>
      <c r="K152" s="46" t="inlineStr"/>
      <c r="L152" s="47" t="inlineStr"/>
      <c r="M152" s="44" t="inlineStr"/>
      <c r="N152" s="44" t="inlineStr"/>
      <c r="O152" s="48" t="inlineStr"/>
      <c r="P152" s="49" t="inlineStr"/>
    </row>
    <row r="153" ht="17" customHeight="1">
      <c r="A153" s="35" t="inlineStr"/>
      <c r="B153" s="36" t="inlineStr"/>
      <c r="C153" s="37" t="inlineStr"/>
      <c r="D153" s="37" t="inlineStr"/>
      <c r="E153" s="37" t="inlineStr"/>
      <c r="F153" s="38" t="inlineStr"/>
      <c r="G153" s="38" t="inlineStr"/>
      <c r="H153" s="38" t="inlineStr"/>
      <c r="I153" s="38" t="inlineStr"/>
      <c r="J153" s="35" t="inlineStr"/>
      <c r="K153" s="39" t="inlineStr"/>
      <c r="L153" s="40" t="inlineStr"/>
      <c r="M153" s="37" t="inlineStr"/>
      <c r="N153" s="37" t="inlineStr"/>
      <c r="O153" s="41" t="inlineStr"/>
      <c r="P153" s="13" t="inlineStr"/>
    </row>
    <row r="154" ht="17" customHeight="1">
      <c r="A154" s="42" t="inlineStr"/>
      <c r="B154" s="43" t="inlineStr"/>
      <c r="C154" s="44" t="inlineStr"/>
      <c r="D154" s="44" t="inlineStr"/>
      <c r="E154" s="44" t="inlineStr"/>
      <c r="F154" s="45" t="inlineStr"/>
      <c r="G154" s="45" t="inlineStr"/>
      <c r="H154" s="45" t="inlineStr"/>
      <c r="I154" s="45" t="inlineStr"/>
      <c r="J154" s="42" t="inlineStr"/>
      <c r="K154" s="46" t="inlineStr"/>
      <c r="L154" s="47" t="inlineStr"/>
      <c r="M154" s="44" t="inlineStr"/>
      <c r="N154" s="44" t="inlineStr"/>
      <c r="O154" s="48" t="inlineStr"/>
      <c r="P154" s="49" t="inlineStr"/>
    </row>
    <row r="155" ht="17" customHeight="1">
      <c r="A155" s="35" t="inlineStr"/>
      <c r="B155" s="36" t="inlineStr"/>
      <c r="C155" s="37" t="inlineStr"/>
      <c r="D155" s="37" t="inlineStr"/>
      <c r="E155" s="37" t="inlineStr"/>
      <c r="F155" s="38" t="inlineStr"/>
      <c r="G155" s="38" t="inlineStr"/>
      <c r="H155" s="38" t="inlineStr"/>
      <c r="I155" s="38" t="inlineStr"/>
      <c r="J155" s="35" t="inlineStr"/>
      <c r="K155" s="39" t="inlineStr"/>
      <c r="L155" s="40" t="inlineStr"/>
      <c r="M155" s="37" t="inlineStr"/>
      <c r="N155" s="37" t="inlineStr"/>
      <c r="O155" s="41" t="inlineStr"/>
      <c r="P155" s="13" t="inlineStr"/>
    </row>
    <row r="156" ht="17" customHeight="1">
      <c r="A156" s="42" t="inlineStr"/>
      <c r="B156" s="43" t="inlineStr"/>
      <c r="C156" s="44" t="inlineStr"/>
      <c r="D156" s="44" t="inlineStr"/>
      <c r="E156" s="44" t="inlineStr"/>
      <c r="F156" s="45" t="inlineStr"/>
      <c r="G156" s="45" t="inlineStr"/>
      <c r="H156" s="45" t="inlineStr"/>
      <c r="I156" s="45" t="inlineStr"/>
      <c r="J156" s="42" t="inlineStr"/>
      <c r="K156" s="46" t="inlineStr"/>
      <c r="L156" s="47" t="inlineStr"/>
      <c r="M156" s="44" t="inlineStr"/>
      <c r="N156" s="44" t="inlineStr"/>
      <c r="O156" s="48" t="inlineStr"/>
      <c r="P156" s="49" t="inlineStr"/>
    </row>
    <row r="157" ht="17" customHeight="1">
      <c r="A157" s="35" t="inlineStr"/>
      <c r="B157" s="36" t="inlineStr"/>
      <c r="C157" s="37" t="inlineStr"/>
      <c r="D157" s="37" t="inlineStr"/>
      <c r="E157" s="37" t="inlineStr"/>
      <c r="F157" s="38" t="inlineStr"/>
      <c r="G157" s="38" t="inlineStr"/>
      <c r="H157" s="38" t="inlineStr"/>
      <c r="I157" s="38" t="inlineStr"/>
      <c r="J157" s="35" t="inlineStr"/>
      <c r="K157" s="39" t="inlineStr"/>
      <c r="L157" s="40" t="inlineStr"/>
      <c r="M157" s="37" t="inlineStr"/>
      <c r="N157" s="37" t="inlineStr"/>
      <c r="O157" s="41" t="inlineStr"/>
      <c r="P157" s="13" t="inlineStr"/>
    </row>
    <row r="158" ht="17" customHeight="1">
      <c r="A158" s="42" t="inlineStr"/>
      <c r="B158" s="43" t="inlineStr"/>
      <c r="C158" s="44" t="inlineStr"/>
      <c r="D158" s="44" t="inlineStr"/>
      <c r="E158" s="44" t="inlineStr"/>
      <c r="F158" s="45" t="inlineStr"/>
      <c r="G158" s="45" t="inlineStr"/>
      <c r="H158" s="45" t="inlineStr"/>
      <c r="I158" s="45" t="inlineStr"/>
      <c r="J158" s="42" t="inlineStr"/>
      <c r="K158" s="46" t="inlineStr"/>
      <c r="L158" s="47" t="inlineStr"/>
      <c r="M158" s="44" t="inlineStr"/>
      <c r="N158" s="44" t="inlineStr"/>
      <c r="O158" s="48" t="inlineStr"/>
      <c r="P158" s="49" t="inlineStr"/>
    </row>
    <row r="159" ht="17" customHeight="1">
      <c r="A159" s="35" t="inlineStr"/>
      <c r="B159" s="36" t="inlineStr"/>
      <c r="C159" s="37" t="inlineStr"/>
      <c r="D159" s="37" t="inlineStr"/>
      <c r="E159" s="37" t="inlineStr"/>
      <c r="F159" s="38" t="inlineStr"/>
      <c r="G159" s="38" t="inlineStr"/>
      <c r="H159" s="38" t="inlineStr"/>
      <c r="I159" s="38" t="inlineStr"/>
      <c r="J159" s="35" t="inlineStr"/>
      <c r="K159" s="39" t="inlineStr"/>
      <c r="L159" s="40" t="inlineStr"/>
      <c r="M159" s="37" t="inlineStr"/>
      <c r="N159" s="37" t="inlineStr"/>
      <c r="O159" s="41" t="inlineStr"/>
      <c r="P159" s="13" t="inlineStr"/>
    </row>
    <row r="160" ht="17" customHeight="1">
      <c r="A160" s="42" t="inlineStr"/>
      <c r="B160" s="43" t="inlineStr"/>
      <c r="C160" s="44" t="inlineStr"/>
      <c r="D160" s="44" t="inlineStr"/>
      <c r="E160" s="44" t="inlineStr"/>
      <c r="F160" s="45" t="inlineStr"/>
      <c r="G160" s="45" t="inlineStr"/>
      <c r="H160" s="45" t="inlineStr"/>
      <c r="I160" s="45" t="inlineStr"/>
      <c r="J160" s="42" t="inlineStr"/>
      <c r="K160" s="46" t="inlineStr"/>
      <c r="L160" s="47" t="inlineStr"/>
      <c r="M160" s="44" t="inlineStr"/>
      <c r="N160" s="44" t="inlineStr"/>
      <c r="O160" s="48" t="inlineStr"/>
      <c r="P160" s="49" t="inlineStr"/>
    </row>
    <row r="161" ht="17" customHeight="1">
      <c r="A161" s="35" t="inlineStr"/>
      <c r="B161" s="36" t="inlineStr"/>
      <c r="C161" s="37" t="inlineStr"/>
      <c r="D161" s="37" t="inlineStr"/>
      <c r="E161" s="37" t="inlineStr"/>
      <c r="F161" s="38" t="inlineStr"/>
      <c r="G161" s="38" t="inlineStr"/>
      <c r="H161" s="38" t="inlineStr"/>
      <c r="I161" s="38" t="inlineStr"/>
      <c r="J161" s="35" t="inlineStr"/>
      <c r="K161" s="39" t="inlineStr"/>
      <c r="L161" s="40" t="inlineStr"/>
      <c r="M161" s="37" t="inlineStr"/>
      <c r="N161" s="37" t="inlineStr"/>
      <c r="O161" s="41" t="inlineStr"/>
      <c r="P161" s="13" t="inlineStr"/>
    </row>
    <row r="162" ht="17" customHeight="1">
      <c r="A162" s="42" t="inlineStr"/>
      <c r="B162" s="43" t="inlineStr"/>
      <c r="C162" s="44" t="inlineStr"/>
      <c r="D162" s="44" t="inlineStr"/>
      <c r="E162" s="44" t="inlineStr"/>
      <c r="F162" s="45" t="inlineStr"/>
      <c r="G162" s="45" t="inlineStr"/>
      <c r="H162" s="45" t="inlineStr"/>
      <c r="I162" s="45" t="inlineStr"/>
      <c r="J162" s="42" t="inlineStr"/>
      <c r="K162" s="46" t="inlineStr"/>
      <c r="L162" s="47" t="inlineStr"/>
      <c r="M162" s="44" t="inlineStr"/>
      <c r="N162" s="44" t="inlineStr"/>
      <c r="O162" s="48" t="inlineStr"/>
      <c r="P162" s="49" t="inlineStr"/>
    </row>
    <row r="163" ht="17" customHeight="1">
      <c r="A163" s="35" t="inlineStr"/>
      <c r="B163" s="36" t="inlineStr"/>
      <c r="C163" s="37" t="inlineStr"/>
      <c r="D163" s="37" t="inlineStr"/>
      <c r="E163" s="37" t="inlineStr"/>
      <c r="F163" s="38" t="inlineStr"/>
      <c r="G163" s="38" t="inlineStr"/>
      <c r="H163" s="38" t="inlineStr"/>
      <c r="I163" s="38" t="inlineStr"/>
      <c r="J163" s="35" t="inlineStr"/>
      <c r="K163" s="39" t="inlineStr"/>
      <c r="L163" s="40" t="inlineStr"/>
      <c r="M163" s="37" t="inlineStr"/>
      <c r="N163" s="37" t="inlineStr"/>
      <c r="O163" s="41" t="inlineStr"/>
      <c r="P163" s="13" t="inlineStr"/>
    </row>
    <row r="164" ht="17" customHeight="1">
      <c r="A164" s="42" t="inlineStr"/>
      <c r="B164" s="43" t="inlineStr"/>
      <c r="C164" s="44" t="inlineStr"/>
      <c r="D164" s="44" t="inlineStr"/>
      <c r="E164" s="44" t="inlineStr"/>
      <c r="F164" s="45" t="inlineStr"/>
      <c r="G164" s="45" t="inlineStr"/>
      <c r="H164" s="45" t="inlineStr"/>
      <c r="I164" s="45" t="inlineStr"/>
      <c r="J164" s="42" t="inlineStr"/>
      <c r="K164" s="46" t="inlineStr"/>
      <c r="L164" s="47" t="inlineStr"/>
      <c r="M164" s="44" t="inlineStr"/>
      <c r="N164" s="44" t="inlineStr"/>
      <c r="O164" s="48" t="inlineStr"/>
      <c r="P164" s="49" t="inlineStr"/>
    </row>
    <row r="165" ht="17" customHeight="1">
      <c r="A165" s="35" t="inlineStr"/>
      <c r="B165" s="36" t="inlineStr"/>
      <c r="C165" s="37" t="inlineStr"/>
      <c r="D165" s="37" t="inlineStr"/>
      <c r="E165" s="37" t="inlineStr"/>
      <c r="F165" s="38" t="inlineStr"/>
      <c r="G165" s="38" t="inlineStr"/>
      <c r="H165" s="38" t="inlineStr"/>
      <c r="I165" s="38" t="inlineStr"/>
      <c r="J165" s="35" t="inlineStr"/>
      <c r="K165" s="39" t="inlineStr"/>
      <c r="L165" s="40" t="inlineStr"/>
      <c r="M165" s="37" t="inlineStr"/>
      <c r="N165" s="37" t="inlineStr"/>
      <c r="O165" s="41" t="inlineStr"/>
      <c r="P165" s="13" t="inlineStr"/>
    </row>
    <row r="166" ht="17" customHeight="1">
      <c r="A166" s="42" t="inlineStr"/>
      <c r="B166" s="43" t="inlineStr"/>
      <c r="C166" s="44" t="inlineStr"/>
      <c r="D166" s="44" t="inlineStr"/>
      <c r="E166" s="44" t="inlineStr"/>
      <c r="F166" s="45" t="inlineStr"/>
      <c r="G166" s="45" t="inlineStr"/>
      <c r="H166" s="45" t="inlineStr"/>
      <c r="I166" s="45" t="inlineStr"/>
      <c r="J166" s="42" t="inlineStr"/>
      <c r="K166" s="46" t="inlineStr"/>
      <c r="L166" s="47" t="inlineStr"/>
      <c r="M166" s="44" t="inlineStr"/>
      <c r="N166" s="44" t="inlineStr"/>
      <c r="O166" s="48" t="inlineStr"/>
      <c r="P166" s="49" t="inlineStr"/>
    </row>
    <row r="167" ht="17" customHeight="1">
      <c r="A167" s="35" t="inlineStr"/>
      <c r="B167" s="36" t="inlineStr"/>
      <c r="C167" s="37" t="inlineStr"/>
      <c r="D167" s="37" t="inlineStr"/>
      <c r="E167" s="37" t="inlineStr"/>
      <c r="F167" s="38" t="inlineStr"/>
      <c r="G167" s="38" t="inlineStr"/>
      <c r="H167" s="38" t="inlineStr"/>
      <c r="I167" s="38" t="inlineStr"/>
      <c r="J167" s="35" t="inlineStr"/>
      <c r="K167" s="39" t="inlineStr"/>
      <c r="L167" s="40" t="inlineStr"/>
      <c r="M167" s="37" t="inlineStr"/>
      <c r="N167" s="37" t="inlineStr"/>
      <c r="O167" s="41" t="inlineStr"/>
      <c r="P167" s="13" t="inlineStr"/>
    </row>
    <row r="168" ht="17" customHeight="1">
      <c r="A168" s="42" t="inlineStr"/>
      <c r="B168" s="43" t="inlineStr"/>
      <c r="C168" s="44" t="inlineStr"/>
      <c r="D168" s="44" t="inlineStr"/>
      <c r="E168" s="44" t="inlineStr"/>
      <c r="F168" s="45" t="inlineStr"/>
      <c r="G168" s="45" t="inlineStr"/>
      <c r="H168" s="45" t="inlineStr"/>
      <c r="I168" s="45" t="inlineStr"/>
      <c r="J168" s="42" t="inlineStr"/>
      <c r="K168" s="46" t="inlineStr"/>
      <c r="L168" s="47" t="inlineStr"/>
      <c r="M168" s="44" t="inlineStr"/>
      <c r="N168" s="44" t="inlineStr"/>
      <c r="O168" s="48" t="inlineStr"/>
      <c r="P168" s="49" t="inlineStr"/>
    </row>
    <row r="169" ht="17" customHeight="1">
      <c r="A169" s="35" t="inlineStr"/>
      <c r="B169" s="36" t="inlineStr"/>
      <c r="C169" s="37" t="inlineStr"/>
      <c r="D169" s="37" t="inlineStr"/>
      <c r="E169" s="37" t="inlineStr"/>
      <c r="F169" s="38" t="inlineStr"/>
      <c r="G169" s="38" t="inlineStr"/>
      <c r="H169" s="38" t="inlineStr"/>
      <c r="I169" s="38" t="inlineStr"/>
      <c r="J169" s="35" t="inlineStr"/>
      <c r="K169" s="39" t="inlineStr"/>
      <c r="L169" s="40" t="inlineStr"/>
      <c r="M169" s="37" t="inlineStr"/>
      <c r="N169" s="37" t="inlineStr"/>
      <c r="O169" s="41" t="inlineStr"/>
      <c r="P169" s="13" t="inlineStr"/>
    </row>
    <row r="170" ht="17" customHeight="1">
      <c r="A170" s="42" t="inlineStr"/>
      <c r="B170" s="43" t="inlineStr"/>
      <c r="C170" s="44" t="inlineStr"/>
      <c r="D170" s="44" t="inlineStr"/>
      <c r="E170" s="44" t="inlineStr"/>
      <c r="F170" s="45" t="inlineStr"/>
      <c r="G170" s="45" t="inlineStr"/>
      <c r="H170" s="45" t="inlineStr"/>
      <c r="I170" s="45" t="inlineStr"/>
      <c r="J170" s="42" t="inlineStr"/>
      <c r="K170" s="46" t="inlineStr"/>
      <c r="L170" s="47" t="inlineStr"/>
      <c r="M170" s="44" t="inlineStr"/>
      <c r="N170" s="44" t="inlineStr"/>
      <c r="O170" s="48" t="inlineStr"/>
      <c r="P170" s="49" t="inlineStr"/>
    </row>
    <row r="171" ht="17" customHeight="1">
      <c r="A171" s="35" t="inlineStr"/>
      <c r="B171" s="36" t="inlineStr"/>
      <c r="C171" s="37" t="inlineStr"/>
      <c r="D171" s="37" t="inlineStr"/>
      <c r="E171" s="37" t="inlineStr"/>
      <c r="F171" s="38" t="inlineStr"/>
      <c r="G171" s="38" t="inlineStr"/>
      <c r="H171" s="38" t="inlineStr"/>
      <c r="I171" s="38" t="inlineStr"/>
      <c r="J171" s="35" t="inlineStr"/>
      <c r="K171" s="39" t="inlineStr"/>
      <c r="L171" s="40" t="inlineStr"/>
      <c r="M171" s="37" t="inlineStr"/>
      <c r="N171" s="37" t="inlineStr"/>
      <c r="O171" s="41" t="inlineStr"/>
      <c r="P171" s="13" t="inlineStr"/>
    </row>
    <row r="172" ht="17" customHeight="1">
      <c r="A172" s="42" t="inlineStr"/>
      <c r="B172" s="43" t="inlineStr"/>
      <c r="C172" s="44" t="inlineStr"/>
      <c r="D172" s="44" t="inlineStr"/>
      <c r="E172" s="44" t="inlineStr"/>
      <c r="F172" s="45" t="inlineStr"/>
      <c r="G172" s="45" t="inlineStr"/>
      <c r="H172" s="45" t="inlineStr"/>
      <c r="I172" s="45" t="inlineStr"/>
      <c r="J172" s="42" t="inlineStr"/>
      <c r="K172" s="46" t="inlineStr"/>
      <c r="L172" s="47" t="inlineStr"/>
      <c r="M172" s="44" t="inlineStr"/>
      <c r="N172" s="44" t="inlineStr"/>
      <c r="O172" s="48" t="inlineStr"/>
      <c r="P172" s="49" t="inlineStr"/>
    </row>
    <row r="173" ht="17" customHeight="1">
      <c r="A173" s="35" t="inlineStr"/>
      <c r="B173" s="36" t="inlineStr"/>
      <c r="C173" s="37" t="inlineStr"/>
      <c r="D173" s="37" t="inlineStr"/>
      <c r="E173" s="37" t="inlineStr"/>
      <c r="F173" s="38" t="inlineStr"/>
      <c r="G173" s="38" t="inlineStr"/>
      <c r="H173" s="38" t="inlineStr"/>
      <c r="I173" s="38" t="inlineStr"/>
      <c r="J173" s="35" t="inlineStr"/>
      <c r="K173" s="39" t="inlineStr"/>
      <c r="L173" s="40" t="inlineStr"/>
      <c r="M173" s="37" t="inlineStr"/>
      <c r="N173" s="37" t="inlineStr"/>
      <c r="O173" s="41" t="inlineStr"/>
      <c r="P173" s="13" t="inlineStr"/>
    </row>
    <row r="174" ht="17" customHeight="1">
      <c r="A174" s="42" t="inlineStr"/>
      <c r="B174" s="43" t="inlineStr"/>
      <c r="C174" s="44" t="inlineStr"/>
      <c r="D174" s="44" t="inlineStr"/>
      <c r="E174" s="44" t="inlineStr"/>
      <c r="F174" s="45" t="inlineStr"/>
      <c r="G174" s="45" t="inlineStr"/>
      <c r="H174" s="45" t="inlineStr"/>
      <c r="I174" s="45" t="inlineStr"/>
      <c r="J174" s="42" t="inlineStr"/>
      <c r="K174" s="46" t="inlineStr"/>
      <c r="L174" s="47" t="inlineStr"/>
      <c r="M174" s="44" t="inlineStr"/>
      <c r="N174" s="44" t="inlineStr"/>
      <c r="O174" s="48" t="inlineStr"/>
      <c r="P174" s="49" t="inlineStr"/>
    </row>
    <row r="175" ht="17" customHeight="1">
      <c r="A175" s="35" t="inlineStr"/>
      <c r="B175" s="36" t="inlineStr"/>
      <c r="C175" s="37" t="inlineStr"/>
      <c r="D175" s="37" t="inlineStr"/>
      <c r="E175" s="37" t="inlineStr"/>
      <c r="F175" s="38" t="inlineStr"/>
      <c r="G175" s="38" t="inlineStr"/>
      <c r="H175" s="38" t="inlineStr"/>
      <c r="I175" s="38" t="inlineStr"/>
      <c r="J175" s="35" t="inlineStr"/>
      <c r="K175" s="39" t="inlineStr"/>
      <c r="L175" s="40" t="inlineStr"/>
      <c r="M175" s="37" t="inlineStr"/>
      <c r="N175" s="37" t="inlineStr"/>
      <c r="O175" s="41" t="inlineStr"/>
      <c r="P175" s="13" t="inlineStr"/>
    </row>
    <row r="176" ht="17" customHeight="1">
      <c r="A176" s="42" t="inlineStr"/>
      <c r="B176" s="43" t="inlineStr"/>
      <c r="C176" s="44" t="inlineStr"/>
      <c r="D176" s="44" t="inlineStr"/>
      <c r="E176" s="44" t="inlineStr"/>
      <c r="F176" s="45" t="inlineStr"/>
      <c r="G176" s="45" t="inlineStr"/>
      <c r="H176" s="45" t="inlineStr"/>
      <c r="I176" s="45" t="inlineStr"/>
      <c r="J176" s="42" t="inlineStr"/>
      <c r="K176" s="46" t="inlineStr"/>
      <c r="L176" s="47" t="inlineStr"/>
      <c r="M176" s="44" t="inlineStr"/>
      <c r="N176" s="44" t="inlineStr"/>
      <c r="O176" s="48" t="inlineStr"/>
      <c r="P176" s="49" t="inlineStr"/>
    </row>
    <row r="177" ht="17" customHeight="1">
      <c r="A177" s="35" t="inlineStr"/>
      <c r="B177" s="36" t="inlineStr"/>
      <c r="C177" s="37" t="inlineStr"/>
      <c r="D177" s="37" t="inlineStr"/>
      <c r="E177" s="37" t="inlineStr"/>
      <c r="F177" s="38" t="inlineStr"/>
      <c r="G177" s="38" t="inlineStr"/>
      <c r="H177" s="38" t="inlineStr"/>
      <c r="I177" s="38" t="inlineStr"/>
      <c r="J177" s="35" t="inlineStr"/>
      <c r="K177" s="39" t="inlineStr"/>
      <c r="L177" s="40" t="inlineStr"/>
      <c r="M177" s="37" t="inlineStr"/>
      <c r="N177" s="37" t="inlineStr"/>
      <c r="O177" s="41" t="inlineStr"/>
      <c r="P177" s="13" t="inlineStr"/>
    </row>
    <row r="178" ht="17" customHeight="1">
      <c r="A178" s="42" t="inlineStr"/>
      <c r="B178" s="43" t="inlineStr"/>
      <c r="C178" s="44" t="inlineStr"/>
      <c r="D178" s="44" t="inlineStr"/>
      <c r="E178" s="44" t="inlineStr"/>
      <c r="F178" s="45" t="inlineStr"/>
      <c r="G178" s="45" t="inlineStr"/>
      <c r="H178" s="45" t="inlineStr"/>
      <c r="I178" s="45" t="inlineStr"/>
      <c r="J178" s="42" t="inlineStr"/>
      <c r="K178" s="46" t="inlineStr"/>
      <c r="L178" s="47" t="inlineStr"/>
      <c r="M178" s="44" t="inlineStr"/>
      <c r="N178" s="44" t="inlineStr"/>
      <c r="O178" s="48" t="inlineStr"/>
      <c r="P178" s="49" t="inlineStr"/>
    </row>
    <row r="179" ht="17" customHeight="1">
      <c r="A179" s="35" t="inlineStr"/>
      <c r="B179" s="36" t="inlineStr"/>
      <c r="C179" s="37" t="inlineStr"/>
      <c r="D179" s="37" t="inlineStr"/>
      <c r="E179" s="37" t="inlineStr"/>
      <c r="F179" s="38" t="inlineStr"/>
      <c r="G179" s="38" t="inlineStr"/>
      <c r="H179" s="38" t="inlineStr"/>
      <c r="I179" s="38" t="inlineStr"/>
      <c r="J179" s="35" t="inlineStr"/>
      <c r="K179" s="39" t="inlineStr"/>
      <c r="L179" s="40" t="inlineStr"/>
      <c r="M179" s="37" t="inlineStr"/>
      <c r="N179" s="37" t="inlineStr"/>
      <c r="O179" s="41" t="inlineStr"/>
      <c r="P179" s="13" t="inlineStr"/>
    </row>
    <row r="180" ht="17" customHeight="1">
      <c r="A180" s="42" t="inlineStr"/>
      <c r="B180" s="43" t="inlineStr"/>
      <c r="C180" s="44" t="inlineStr"/>
      <c r="D180" s="44" t="inlineStr"/>
      <c r="E180" s="44" t="inlineStr"/>
      <c r="F180" s="45" t="inlineStr"/>
      <c r="G180" s="45" t="inlineStr"/>
      <c r="H180" s="45" t="inlineStr"/>
      <c r="I180" s="45" t="inlineStr"/>
      <c r="J180" s="42" t="inlineStr"/>
      <c r="K180" s="46" t="inlineStr"/>
      <c r="L180" s="47" t="inlineStr"/>
      <c r="M180" s="44" t="inlineStr"/>
      <c r="N180" s="44" t="inlineStr"/>
      <c r="O180" s="48" t="inlineStr"/>
      <c r="P180" s="49" t="inlineStr"/>
    </row>
    <row r="181" ht="17" customHeight="1">
      <c r="A181" s="35" t="inlineStr"/>
      <c r="B181" s="36" t="inlineStr"/>
      <c r="C181" s="37" t="inlineStr"/>
      <c r="D181" s="37" t="inlineStr"/>
      <c r="E181" s="37" t="inlineStr"/>
      <c r="F181" s="38" t="inlineStr"/>
      <c r="G181" s="38" t="inlineStr"/>
      <c r="H181" s="38" t="inlineStr"/>
      <c r="I181" s="38" t="inlineStr"/>
      <c r="J181" s="35" t="inlineStr"/>
      <c r="K181" s="39" t="inlineStr"/>
      <c r="L181" s="40" t="inlineStr"/>
      <c r="M181" s="37" t="inlineStr"/>
      <c r="N181" s="37" t="inlineStr"/>
      <c r="O181" s="41" t="inlineStr"/>
      <c r="P181" s="13" t="inlineStr"/>
    </row>
    <row r="182" ht="17" customHeight="1">
      <c r="A182" s="42" t="inlineStr"/>
      <c r="B182" s="43" t="inlineStr"/>
      <c r="C182" s="44" t="inlineStr"/>
      <c r="D182" s="44" t="inlineStr"/>
      <c r="E182" s="44" t="inlineStr"/>
      <c r="F182" s="45" t="inlineStr"/>
      <c r="G182" s="45" t="inlineStr"/>
      <c r="H182" s="45" t="inlineStr"/>
      <c r="I182" s="45" t="inlineStr"/>
      <c r="J182" s="42" t="inlineStr"/>
      <c r="K182" s="46" t="inlineStr"/>
      <c r="L182" s="47" t="inlineStr"/>
      <c r="M182" s="44" t="inlineStr"/>
      <c r="N182" s="44" t="inlineStr"/>
      <c r="O182" s="48" t="inlineStr"/>
      <c r="P182" s="49" t="inlineStr"/>
    </row>
    <row r="183" ht="17" customHeight="1">
      <c r="A183" s="35" t="inlineStr"/>
      <c r="B183" s="36" t="inlineStr"/>
      <c r="C183" s="37" t="inlineStr"/>
      <c r="D183" s="37" t="inlineStr"/>
      <c r="E183" s="37" t="inlineStr"/>
      <c r="F183" s="38" t="inlineStr"/>
      <c r="G183" s="38" t="inlineStr"/>
      <c r="H183" s="38" t="inlineStr"/>
      <c r="I183" s="38" t="inlineStr"/>
      <c r="J183" s="35" t="inlineStr"/>
      <c r="K183" s="39" t="inlineStr"/>
      <c r="L183" s="40" t="inlineStr"/>
      <c r="M183" s="37" t="inlineStr"/>
      <c r="N183" s="37" t="inlineStr"/>
      <c r="O183" s="41" t="inlineStr"/>
      <c r="P183" s="13" t="inlineStr"/>
    </row>
    <row r="184" ht="17" customHeight="1">
      <c r="A184" s="42" t="inlineStr"/>
      <c r="B184" s="43" t="inlineStr"/>
      <c r="C184" s="44" t="inlineStr"/>
      <c r="D184" s="44" t="inlineStr"/>
      <c r="E184" s="44" t="inlineStr"/>
      <c r="F184" s="45" t="inlineStr"/>
      <c r="G184" s="45" t="inlineStr"/>
      <c r="H184" s="45" t="inlineStr"/>
      <c r="I184" s="45" t="inlineStr"/>
      <c r="J184" s="42" t="inlineStr"/>
      <c r="K184" s="46" t="inlineStr"/>
      <c r="L184" s="47" t="inlineStr"/>
      <c r="M184" s="44" t="inlineStr"/>
      <c r="N184" s="44" t="inlineStr"/>
      <c r="O184" s="48" t="inlineStr"/>
      <c r="P184" s="49" t="inlineStr"/>
    </row>
    <row r="185" ht="17" customHeight="1">
      <c r="A185" s="35" t="inlineStr"/>
      <c r="B185" s="36" t="inlineStr"/>
      <c r="C185" s="37" t="inlineStr"/>
      <c r="D185" s="37" t="inlineStr"/>
      <c r="E185" s="37" t="inlineStr"/>
      <c r="F185" s="38" t="inlineStr"/>
      <c r="G185" s="38" t="inlineStr"/>
      <c r="H185" s="38" t="inlineStr"/>
      <c r="I185" s="38" t="inlineStr"/>
      <c r="J185" s="35" t="inlineStr"/>
      <c r="K185" s="39" t="inlineStr"/>
      <c r="L185" s="40" t="inlineStr"/>
      <c r="M185" s="37" t="inlineStr"/>
      <c r="N185" s="37" t="inlineStr"/>
      <c r="O185" s="41" t="inlineStr"/>
      <c r="P185" s="13" t="inlineStr"/>
    </row>
    <row r="186" ht="17" customHeight="1">
      <c r="A186" s="42" t="inlineStr"/>
      <c r="B186" s="43" t="inlineStr"/>
      <c r="C186" s="44" t="inlineStr"/>
      <c r="D186" s="44" t="inlineStr"/>
      <c r="E186" s="44" t="inlineStr"/>
      <c r="F186" s="45" t="inlineStr"/>
      <c r="G186" s="45" t="inlineStr"/>
      <c r="H186" s="45" t="inlineStr"/>
      <c r="I186" s="45" t="inlineStr"/>
      <c r="J186" s="42" t="inlineStr"/>
      <c r="K186" s="46" t="inlineStr"/>
      <c r="L186" s="47" t="inlineStr"/>
      <c r="M186" s="44" t="inlineStr"/>
      <c r="N186" s="44" t="inlineStr"/>
      <c r="O186" s="48" t="inlineStr"/>
      <c r="P186" s="49" t="inlineStr"/>
    </row>
    <row r="187" ht="17" customHeight="1">
      <c r="A187" s="35" t="inlineStr"/>
      <c r="B187" s="36" t="inlineStr"/>
      <c r="C187" s="37" t="inlineStr"/>
      <c r="D187" s="37" t="inlineStr"/>
      <c r="E187" s="37" t="inlineStr"/>
      <c r="F187" s="38" t="inlineStr"/>
      <c r="G187" s="38" t="inlineStr"/>
      <c r="H187" s="38" t="inlineStr"/>
      <c r="I187" s="38" t="inlineStr"/>
      <c r="J187" s="35" t="inlineStr"/>
      <c r="K187" s="39" t="inlineStr"/>
      <c r="L187" s="40" t="inlineStr"/>
      <c r="M187" s="37" t="inlineStr"/>
      <c r="N187" s="37" t="inlineStr"/>
      <c r="O187" s="41" t="inlineStr"/>
      <c r="P187" s="13" t="inlineStr"/>
    </row>
    <row r="188" ht="17" customHeight="1">
      <c r="A188" s="42" t="inlineStr"/>
      <c r="B188" s="43" t="inlineStr"/>
      <c r="C188" s="44" t="inlineStr"/>
      <c r="D188" s="44" t="inlineStr"/>
      <c r="E188" s="44" t="inlineStr"/>
      <c r="F188" s="45" t="inlineStr"/>
      <c r="G188" s="45" t="inlineStr"/>
      <c r="H188" s="45" t="inlineStr"/>
      <c r="I188" s="45" t="inlineStr"/>
      <c r="J188" s="42" t="inlineStr"/>
      <c r="K188" s="46" t="inlineStr"/>
      <c r="L188" s="47" t="inlineStr"/>
      <c r="M188" s="44" t="inlineStr"/>
      <c r="N188" s="44" t="inlineStr"/>
      <c r="O188" s="48" t="inlineStr"/>
      <c r="P188" s="49" t="inlineStr"/>
    </row>
    <row r="189" ht="17" customHeight="1">
      <c r="A189" s="35" t="inlineStr"/>
      <c r="B189" s="36" t="inlineStr"/>
      <c r="C189" s="37" t="inlineStr"/>
      <c r="D189" s="37" t="inlineStr"/>
      <c r="E189" s="37" t="inlineStr"/>
      <c r="F189" s="38" t="inlineStr"/>
      <c r="G189" s="38" t="inlineStr"/>
      <c r="H189" s="38" t="inlineStr"/>
      <c r="I189" s="38" t="inlineStr"/>
      <c r="J189" s="35" t="inlineStr"/>
      <c r="K189" s="39" t="inlineStr"/>
      <c r="L189" s="40" t="inlineStr"/>
      <c r="M189" s="37" t="inlineStr"/>
      <c r="N189" s="37" t="inlineStr"/>
      <c r="O189" s="41" t="inlineStr"/>
      <c r="P189" s="13" t="inlineStr"/>
    </row>
    <row r="190" ht="17" customHeight="1">
      <c r="A190" s="42" t="inlineStr"/>
      <c r="B190" s="43" t="inlineStr"/>
      <c r="C190" s="44" t="inlineStr"/>
      <c r="D190" s="44" t="inlineStr"/>
      <c r="E190" s="44" t="inlineStr"/>
      <c r="F190" s="45" t="inlineStr"/>
      <c r="G190" s="45" t="inlineStr"/>
      <c r="H190" s="45" t="inlineStr"/>
      <c r="I190" s="45" t="inlineStr"/>
      <c r="J190" s="42" t="inlineStr"/>
      <c r="K190" s="46" t="inlineStr"/>
      <c r="L190" s="47" t="inlineStr"/>
      <c r="M190" s="44" t="inlineStr"/>
      <c r="N190" s="44" t="inlineStr"/>
      <c r="O190" s="48" t="inlineStr"/>
      <c r="P190" s="49" t="inlineStr"/>
    </row>
    <row r="191" ht="17" customHeight="1">
      <c r="A191" s="35" t="inlineStr"/>
      <c r="B191" s="36" t="inlineStr"/>
      <c r="C191" s="37" t="inlineStr"/>
      <c r="D191" s="37" t="inlineStr"/>
      <c r="E191" s="37" t="inlineStr"/>
      <c r="F191" s="38" t="inlineStr"/>
      <c r="G191" s="38" t="inlineStr"/>
      <c r="H191" s="38" t="inlineStr"/>
      <c r="I191" s="38" t="inlineStr"/>
      <c r="J191" s="35" t="inlineStr"/>
      <c r="K191" s="39" t="inlineStr"/>
      <c r="L191" s="40" t="inlineStr"/>
      <c r="M191" s="37" t="inlineStr"/>
      <c r="N191" s="37" t="inlineStr"/>
      <c r="O191" s="41" t="inlineStr"/>
      <c r="P191" s="13" t="inlineStr"/>
    </row>
    <row r="192" ht="17" customHeight="1">
      <c r="A192" s="42" t="inlineStr"/>
      <c r="B192" s="43" t="inlineStr"/>
      <c r="C192" s="44" t="inlineStr"/>
      <c r="D192" s="44" t="inlineStr"/>
      <c r="E192" s="44" t="inlineStr"/>
      <c r="F192" s="45" t="inlineStr"/>
      <c r="G192" s="45" t="inlineStr"/>
      <c r="H192" s="45" t="inlineStr"/>
      <c r="I192" s="45" t="inlineStr"/>
      <c r="J192" s="42" t="inlineStr"/>
      <c r="K192" s="46" t="inlineStr"/>
      <c r="L192" s="47" t="inlineStr"/>
      <c r="M192" s="44" t="inlineStr"/>
      <c r="N192" s="44" t="inlineStr"/>
      <c r="O192" s="48" t="inlineStr"/>
      <c r="P192" s="49" t="inlineStr"/>
    </row>
    <row r="193" ht="17" customHeight="1">
      <c r="A193" s="35" t="inlineStr"/>
      <c r="B193" s="36" t="inlineStr"/>
      <c r="C193" s="37" t="inlineStr"/>
      <c r="D193" s="37" t="inlineStr"/>
      <c r="E193" s="37" t="inlineStr"/>
      <c r="F193" s="38" t="inlineStr"/>
      <c r="G193" s="38" t="inlineStr"/>
      <c r="H193" s="38" t="inlineStr"/>
      <c r="I193" s="38" t="inlineStr"/>
      <c r="J193" s="35" t="inlineStr"/>
      <c r="K193" s="39" t="inlineStr"/>
      <c r="L193" s="40" t="inlineStr"/>
      <c r="M193" s="37" t="inlineStr"/>
      <c r="N193" s="37" t="inlineStr"/>
      <c r="O193" s="41" t="inlineStr"/>
      <c r="P193" s="13" t="inlineStr"/>
    </row>
    <row r="194" ht="17" customHeight="1">
      <c r="A194" s="42" t="inlineStr"/>
      <c r="B194" s="43" t="inlineStr"/>
      <c r="C194" s="44" t="inlineStr"/>
      <c r="D194" s="44" t="inlineStr"/>
      <c r="E194" s="44" t="inlineStr"/>
      <c r="F194" s="45" t="inlineStr"/>
      <c r="G194" s="45" t="inlineStr"/>
      <c r="H194" s="45" t="inlineStr"/>
      <c r="I194" s="45" t="inlineStr"/>
      <c r="J194" s="42" t="inlineStr"/>
      <c r="K194" s="46" t="inlineStr"/>
      <c r="L194" s="47" t="inlineStr"/>
      <c r="M194" s="44" t="inlineStr"/>
      <c r="N194" s="44" t="inlineStr"/>
      <c r="O194" s="48" t="inlineStr"/>
      <c r="P194" s="49" t="inlineStr"/>
    </row>
    <row r="195" ht="17" customHeight="1">
      <c r="A195" s="35" t="inlineStr"/>
      <c r="B195" s="36" t="inlineStr"/>
      <c r="C195" s="37" t="inlineStr"/>
      <c r="D195" s="37" t="inlineStr"/>
      <c r="E195" s="37" t="inlineStr"/>
      <c r="F195" s="38" t="inlineStr"/>
      <c r="G195" s="38" t="inlineStr"/>
      <c r="H195" s="38" t="inlineStr"/>
      <c r="I195" s="38" t="inlineStr"/>
      <c r="J195" s="35" t="inlineStr"/>
      <c r="K195" s="39" t="inlineStr"/>
      <c r="L195" s="40" t="inlineStr"/>
      <c r="M195" s="37" t="inlineStr"/>
      <c r="N195" s="37" t="inlineStr"/>
      <c r="O195" s="41" t="inlineStr"/>
      <c r="P195" s="13" t="inlineStr"/>
    </row>
    <row r="196" ht="17" customHeight="1">
      <c r="A196" s="42" t="inlineStr"/>
      <c r="B196" s="43" t="inlineStr"/>
      <c r="C196" s="44" t="inlineStr"/>
      <c r="D196" s="44" t="inlineStr"/>
      <c r="E196" s="44" t="inlineStr"/>
      <c r="F196" s="45" t="inlineStr"/>
      <c r="G196" s="45" t="inlineStr"/>
      <c r="H196" s="45" t="inlineStr"/>
      <c r="I196" s="45" t="inlineStr"/>
      <c r="J196" s="42" t="inlineStr"/>
      <c r="K196" s="46" t="inlineStr"/>
      <c r="L196" s="47" t="inlineStr"/>
      <c r="M196" s="44" t="inlineStr"/>
      <c r="N196" s="44" t="inlineStr"/>
      <c r="O196" s="48" t="inlineStr"/>
      <c r="P196" s="49" t="inlineStr"/>
    </row>
    <row r="197" ht="17" customHeight="1">
      <c r="A197" s="35" t="inlineStr"/>
      <c r="B197" s="36" t="inlineStr"/>
      <c r="C197" s="37" t="inlineStr"/>
      <c r="D197" s="37" t="inlineStr"/>
      <c r="E197" s="37" t="inlineStr"/>
      <c r="F197" s="38" t="inlineStr"/>
      <c r="G197" s="38" t="inlineStr"/>
      <c r="H197" s="38" t="inlineStr"/>
      <c r="I197" s="38" t="inlineStr"/>
      <c r="J197" s="35" t="inlineStr"/>
      <c r="K197" s="39" t="inlineStr"/>
      <c r="L197" s="40" t="inlineStr"/>
      <c r="M197" s="37" t="inlineStr"/>
      <c r="N197" s="37" t="inlineStr"/>
      <c r="O197" s="41" t="inlineStr"/>
      <c r="P197" s="13" t="inlineStr"/>
    </row>
    <row r="198" ht="17" customHeight="1">
      <c r="A198" s="42" t="inlineStr"/>
      <c r="B198" s="43" t="inlineStr"/>
      <c r="C198" s="44" t="inlineStr"/>
      <c r="D198" s="44" t="inlineStr"/>
      <c r="E198" s="44" t="inlineStr"/>
      <c r="F198" s="45" t="inlineStr"/>
      <c r="G198" s="45" t="inlineStr"/>
      <c r="H198" s="45" t="inlineStr"/>
      <c r="I198" s="45" t="inlineStr"/>
      <c r="J198" s="42" t="inlineStr"/>
      <c r="K198" s="46" t="inlineStr"/>
      <c r="L198" s="47" t="inlineStr"/>
      <c r="M198" s="44" t="inlineStr"/>
      <c r="N198" s="44" t="inlineStr"/>
      <c r="O198" s="48" t="inlineStr"/>
      <c r="P198" s="49" t="inlineStr"/>
    </row>
    <row r="199" ht="17" customHeight="1">
      <c r="A199" s="35" t="inlineStr"/>
      <c r="B199" s="36" t="inlineStr"/>
      <c r="C199" s="37" t="inlineStr"/>
      <c r="D199" s="37" t="inlineStr"/>
      <c r="E199" s="37" t="inlineStr"/>
      <c r="F199" s="38" t="inlineStr"/>
      <c r="G199" s="38" t="inlineStr"/>
      <c r="H199" s="38" t="inlineStr"/>
      <c r="I199" s="38" t="inlineStr"/>
      <c r="J199" s="35" t="inlineStr"/>
      <c r="K199" s="39" t="inlineStr"/>
      <c r="L199" s="40" t="inlineStr"/>
      <c r="M199" s="37" t="inlineStr"/>
      <c r="N199" s="37" t="inlineStr"/>
      <c r="O199" s="41" t="inlineStr"/>
      <c r="P199" s="13" t="inlineStr"/>
    </row>
    <row r="200" ht="17" customHeight="1">
      <c r="A200" s="42" t="inlineStr"/>
      <c r="B200" s="43" t="inlineStr"/>
      <c r="C200" s="44" t="inlineStr"/>
      <c r="D200" s="44" t="inlineStr"/>
      <c r="E200" s="44" t="inlineStr"/>
      <c r="F200" s="45" t="inlineStr"/>
      <c r="G200" s="45" t="inlineStr"/>
      <c r="H200" s="45" t="inlineStr"/>
      <c r="I200" s="45" t="inlineStr"/>
      <c r="J200" s="42" t="inlineStr"/>
      <c r="K200" s="46" t="inlineStr"/>
      <c r="L200" s="47" t="inlineStr"/>
      <c r="M200" s="44" t="inlineStr"/>
      <c r="N200" s="44" t="inlineStr"/>
      <c r="O200" s="48" t="inlineStr"/>
      <c r="P200" s="49" t="inlineStr"/>
    </row>
    <row r="201" ht="17" customHeight="1">
      <c r="A201" s="35" t="inlineStr"/>
      <c r="B201" s="36" t="inlineStr"/>
      <c r="C201" s="37" t="inlineStr"/>
      <c r="D201" s="37" t="inlineStr"/>
      <c r="E201" s="37" t="inlineStr"/>
      <c r="F201" s="38" t="inlineStr"/>
      <c r="G201" s="38" t="inlineStr"/>
      <c r="H201" s="38" t="inlineStr"/>
      <c r="I201" s="38" t="inlineStr"/>
      <c r="J201" s="35" t="inlineStr"/>
      <c r="K201" s="39" t="inlineStr"/>
      <c r="L201" s="40" t="inlineStr"/>
      <c r="M201" s="37" t="inlineStr"/>
      <c r="N201" s="37" t="inlineStr"/>
      <c r="O201" s="41" t="inlineStr"/>
      <c r="P201" s="13" t="inlineStr"/>
    </row>
    <row r="202" ht="17" customHeight="1">
      <c r="A202" s="42" t="inlineStr"/>
      <c r="B202" s="43" t="inlineStr"/>
      <c r="C202" s="44" t="inlineStr"/>
      <c r="D202" s="44" t="inlineStr"/>
      <c r="E202" s="44" t="inlineStr"/>
      <c r="F202" s="45" t="inlineStr"/>
      <c r="G202" s="45" t="inlineStr"/>
      <c r="H202" s="45" t="inlineStr"/>
      <c r="I202" s="45" t="inlineStr"/>
      <c r="J202" s="42" t="inlineStr"/>
      <c r="K202" s="46" t="inlineStr"/>
      <c r="L202" s="47" t="inlineStr"/>
      <c r="M202" s="44" t="inlineStr"/>
      <c r="N202" s="44" t="inlineStr"/>
      <c r="O202" s="48" t="inlineStr"/>
      <c r="P202" s="49" t="inlineStr"/>
    </row>
  </sheetData>
  <mergeCells count="1">
    <mergeCell ref="A1:P1"/>
  </mergeCells>
  <dataValidations count="6">
    <dataValidation sqref="C3:C202" showDropDown="0" showInputMessage="0" showErrorMessage="0" allowBlank="1" type="list">
      <formula1>"New York,London,Overlap (London/NY),Asian,Afternoon,Other"</formula1>
    </dataValidation>
    <dataValidation sqref="D3:D202" showDropDown="0" showInputMessage="0" showErrorMessage="0" allowBlank="1" type="list">
      <formula1>"MES,MGC,MNQ,M2K"</formula1>
    </dataValidation>
    <dataValidation sqref="E3:E202" showDropDown="0" showInputMessage="0" showErrorMessage="0" allowBlank="1" type="list">
      <formula1>"VWAP Bounce,VWAP Rejection,SR Break,SR Rejection,EMA Pullback,Liquidity Sweep,Opening Range Break,Trend Continuation,Mean Reversion,Other"</formula1>
    </dataValidation>
    <dataValidation sqref="M3:M202" showDropDown="0" showInputMessage="0" showErrorMessage="0" allowBlank="1" type="list">
      <formula1>"None,FOMO,Revenge Trade,Early Entry,Late Entry,Missed Exit,Chased Price,Ignored Stop,Oversized,Broke Rules,Other"</formula1>
    </dataValidation>
    <dataValidation sqref="N3:N202" showDropDown="0" showInputMessage="0" showErrorMessage="0" allowBlank="1" type="list">
      <formula1>"Calm,Confident,Anxious,Bored,Frustrated,FOMO,Fearful,Greedy,Distracted,Other"</formula1>
    </dataValidation>
    <dataValidation sqref="O3:O202" showDropDown="0" showInputMessage="0" showErrorMessage="0" allowBlank="1" type="list">
      <formula1>"A,B,C,D"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59E0B"/>
    <outlinePr summaryBelow="1" summaryRight="1"/>
    <pageSetUpPr/>
  </sheetPr>
  <dimension ref="A1:A36"/>
  <sheetViews>
    <sheetView showGridLines="0" workbookViewId="0">
      <selection activeCell="A1" sqref="A1"/>
    </sheetView>
  </sheetViews>
  <sheetFormatPr baseColWidth="8" defaultRowHeight="15"/>
  <cols>
    <col width="82" customWidth="1" min="1" max="1"/>
  </cols>
  <sheetData>
    <row r="1" ht="28" customHeight="1">
      <c r="A1" s="1" t="inlineStr">
        <is>
          <t>ℹ️  HOW TO USE THIS COMPANION SPREADSHEET</t>
        </is>
      </c>
    </row>
    <row r="2" ht="17" customHeight="1">
      <c r="A2" s="50" t="inlineStr"/>
    </row>
    <row r="3" ht="17" customHeight="1">
      <c r="A3" s="51" t="inlineStr">
        <is>
          <t>📐  RISK CALCULATOR</t>
        </is>
      </c>
    </row>
    <row r="4" ht="17" customHeight="1">
      <c r="A4" s="52" t="inlineStr">
        <is>
          <t xml:space="preserve">  Edit the blue input cells. All results update automatically.</t>
        </is>
      </c>
    </row>
    <row r="5" ht="17" customHeight="1">
      <c r="A5" s="52" t="inlineStr">
        <is>
          <t xml:space="preserve">  Tick values:  MES=$1.25  ·  MGC=$1.00  ·  MNQ=$0.50  ·  M2K=$0.50 per tick.</t>
        </is>
      </c>
    </row>
    <row r="6" ht="17" customHeight="1">
      <c r="A6" s="52" t="inlineStr">
        <is>
          <t xml:space="preserve">  'Tick Value' input: copy from the Instrument Reference table to the right.</t>
        </is>
      </c>
    </row>
    <row r="7" ht="17" customHeight="1">
      <c r="A7" s="52" t="inlineStr">
        <is>
          <t xml:space="preserve">  For full interactivity, run the Streamlit app:  streamlit run app.py</t>
        </is>
      </c>
    </row>
    <row r="8" ht="17" customHeight="1">
      <c r="A8" s="50" t="inlineStr"/>
    </row>
    <row r="9" ht="17" customHeight="1">
      <c r="A9" s="51" t="inlineStr">
        <is>
          <t>🏦  PROP FIRM TRACKER</t>
        </is>
      </c>
    </row>
    <row r="10" ht="17" customHeight="1">
      <c r="A10" s="52" t="inlineStr">
        <is>
          <t xml:space="preserve">  1. Fill in Account Config once at challenge start (blue cells only).</t>
        </is>
      </c>
    </row>
    <row r="11" ht="17" customHeight="1">
      <c r="A11" s="52" t="inlineStr">
        <is>
          <t xml:space="preserve">  2. Update Current Balance and Realized P/L each trading day.</t>
        </is>
      </c>
    </row>
    <row r="12" ht="17" customHeight="1">
      <c r="A12" s="52" t="inlineStr">
        <is>
          <t xml:space="preserve">  3. Trailing DD: update High Water Mark any time you reach a new balance peak.</t>
        </is>
      </c>
    </row>
    <row r="13" ht="17" customHeight="1">
      <c r="A13" s="52" t="inlineStr">
        <is>
          <t xml:space="preserve">  4. Daily Session Log: enter Start $ and P/L $ — all other columns are formulas.</t>
        </is>
      </c>
    </row>
    <row r="14" ht="17" customHeight="1">
      <c r="A14" s="52" t="inlineStr">
        <is>
          <t xml:space="preserve">  5. Account Status: 🟢 ON TRACK / 🟡 CAUTION (&lt;30% buffer) / 🟠 DANGER (&lt;10%) / 🔴 FAILED</t>
        </is>
      </c>
    </row>
    <row r="15" ht="17" customHeight="1">
      <c r="A15" s="50" t="inlineStr"/>
    </row>
    <row r="16" ht="17" customHeight="1">
      <c r="A16" s="51" t="inlineStr">
        <is>
          <t>📓  TRADE JOURNAL</t>
        </is>
      </c>
    </row>
    <row r="17" ht="17" customHeight="1">
      <c r="A17" s="52" t="inlineStr">
        <is>
          <t xml:space="preserve">  1. Log every trade. Session, Instrument, Setup, Mistake, Emotion, Grade have dropdowns.</t>
        </is>
      </c>
    </row>
    <row r="18" ht="17" customHeight="1">
      <c r="A18" s="52" t="inlineStr">
        <is>
          <t xml:space="preserve">  2. Result R: positive = win (e.g. 1.5), negative = loss (e.g. -1.0).</t>
        </is>
      </c>
    </row>
    <row r="19" ht="17" customHeight="1">
      <c r="A19" s="52" t="inlineStr">
        <is>
          <t xml:space="preserve">  3. Grade:  A = textbook setup, perfect execution</t>
        </is>
      </c>
    </row>
    <row r="20" ht="17" customHeight="1">
      <c r="A20" s="52" t="inlineStr">
        <is>
          <t xml:space="preserve">           B = good setup or minor execution issue</t>
        </is>
      </c>
    </row>
    <row r="21" ht="17" customHeight="1">
      <c r="A21" s="52" t="inlineStr">
        <is>
          <t xml:space="preserve">           C = marginal setup — should be reviewed</t>
        </is>
      </c>
    </row>
    <row r="22" ht="17" customHeight="1">
      <c r="A22" s="52" t="inlineStr">
        <is>
          <t xml:space="preserve">           D = should not have taken this trade</t>
        </is>
      </c>
    </row>
    <row r="23" ht="17" customHeight="1">
      <c r="A23" s="52" t="inlineStr">
        <is>
          <t xml:space="preserve">  4. Export to CSV → drag file into Streamlit app → full analytics dashboard.</t>
        </is>
      </c>
    </row>
    <row r="24" ht="17" customHeight="1">
      <c r="A24" s="50" t="inlineStr"/>
    </row>
    <row r="25" ht="17" customHeight="1">
      <c r="A25" s="51" t="inlineStr">
        <is>
          <t>📊  ANALYTICS</t>
        </is>
      </c>
    </row>
    <row r="26" ht="17" customHeight="1">
      <c r="A26" s="52" t="inlineStr">
        <is>
          <t xml:space="preserve">  This spreadsheet handles daily tracking. For edge validation, equity curves,</t>
        </is>
      </c>
    </row>
    <row r="27" ht="17" customHeight="1">
      <c r="A27" s="52" t="inlineStr">
        <is>
          <t xml:space="preserve">  session breakdown, and R distribution, use the Streamlit app.</t>
        </is>
      </c>
    </row>
    <row r="28" ht="17" customHeight="1">
      <c r="A28" s="52" t="inlineStr">
        <is>
          <t xml:space="preserve">  Run: streamlit run app.py  →  Analytics tab</t>
        </is>
      </c>
    </row>
    <row r="29" ht="17" customHeight="1">
      <c r="A29" s="50" t="inlineStr"/>
    </row>
    <row r="30" ht="17" customHeight="1">
      <c r="A30" s="51" t="inlineStr">
        <is>
          <t>💡  RULES TO INTERNALIZE</t>
        </is>
      </c>
    </row>
    <row r="31" ht="17" customHeight="1">
      <c r="A31" s="52" t="inlineStr">
        <is>
          <t xml:space="preserve">  • Risk ≤ 0.5% per trade during evaluation phase. 1% max once funded.</t>
        </is>
      </c>
    </row>
    <row r="32" ht="17" customHeight="1">
      <c r="A32" s="52" t="inlineStr">
        <is>
          <t xml:space="preserve">  • Never risk more than 25% of remaining drawdown buffer in a single day.</t>
        </is>
      </c>
    </row>
    <row r="33" ht="17" customHeight="1">
      <c r="A33" s="52" t="inlineStr">
        <is>
          <t xml:space="preserve">  • Stop trading after using 50% of your daily loss limit.</t>
        </is>
      </c>
    </row>
    <row r="34" ht="17" customHeight="1">
      <c r="A34" s="52" t="inlineStr">
        <is>
          <t xml:space="preserve">  • Log every trade, including ones you want to forget.</t>
        </is>
      </c>
    </row>
    <row r="35" ht="17" customHeight="1">
      <c r="A35" s="52" t="inlineStr">
        <is>
          <t xml:space="preserve">  • Do not size up before 30+ trades with positive expectancy.</t>
        </is>
      </c>
    </row>
    <row r="36" ht="17" customHeight="1">
      <c r="A36" s="52" t="inlineStr">
        <is>
          <t xml:space="preserve">  • If Grade C/D trades are negative expectancy, stop taking them.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2026-06-27T04:21:15Z</dcterms:created>
  <dcterms:modified xmlns:dcterms="http://purl.org/dc/terms/" xmlns:xsi="http://www.w3.org/2001/XMLSchema-instance" xsi:type="dcterms:W3CDTF">2026-06-27T04:21:15Z</dcterms:modified>
</cp:coreProperties>
</file>